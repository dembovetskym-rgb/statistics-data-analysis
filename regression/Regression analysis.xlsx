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MDem\Desktop\статистика\"/>
    </mc:Choice>
  </mc:AlternateContent>
  <xr:revisionPtr revIDLastSave="0" documentId="13_ncr:1_{2F52E02B-5755-4CF8-88B1-781D7DCF4A2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3" l="1"/>
  <c r="P3" i="3"/>
  <c r="B36" i="3" l="1"/>
  <c r="B35" i="3"/>
  <c r="M2" i="3"/>
  <c r="M1" i="3"/>
  <c r="L33" i="3"/>
  <c r="L34" i="3"/>
  <c r="K34" i="3"/>
  <c r="J34" i="3"/>
  <c r="I34" i="3"/>
  <c r="H34" i="3"/>
  <c r="G34" i="3"/>
  <c r="F34" i="3"/>
  <c r="E34" i="3"/>
  <c r="D34" i="3"/>
  <c r="C34" i="3"/>
  <c r="B34" i="3"/>
  <c r="K33" i="3"/>
  <c r="J33" i="3"/>
  <c r="I33" i="3"/>
  <c r="H33" i="3"/>
  <c r="G33" i="3"/>
  <c r="F33" i="3"/>
  <c r="E33" i="3"/>
  <c r="D33" i="3"/>
  <c r="C33" i="3"/>
  <c r="B33" i="3"/>
  <c r="G2" i="1" l="1"/>
  <c r="G1" i="1"/>
  <c r="E7" i="1"/>
  <c r="D7" i="1"/>
  <c r="C7" i="1"/>
  <c r="B7" i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<sst xmlns="http://schemas.openxmlformats.org/spreadsheetml/2006/main" count="155" uniqueCount="54">
  <si>
    <t>i</t>
  </si>
  <si>
    <t>x</t>
  </si>
  <si>
    <t>y</t>
  </si>
  <si>
    <t>x^2</t>
  </si>
  <si>
    <t>a</t>
  </si>
  <si>
    <t>b</t>
  </si>
  <si>
    <t>x*y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</si>
  <si>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</si>
  <si>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</si>
  <si>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</si>
  <si>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</si>
  <si>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</si>
  <si>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</si>
  <si>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</si>
  <si>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</si>
  <si>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</si>
  <si>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</si>
  <si>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</si>
  <si>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</si>
  <si>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</si>
  <si>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</si>
  <si>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</si>
  <si>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</si>
  <si>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</si>
  <si>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</si>
  <si>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</si>
  <si>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</si>
  <si>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</si>
  <si>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</si>
  <si>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</si>
  <si>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</si>
  <si>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</si>
  <si>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r>
      <t>х</t>
    </r>
    <r>
      <rPr>
        <i/>
        <vertAlign val="subscript"/>
        <sz val="14"/>
        <color rgb="FF000000"/>
        <rFont val="Times New Roman"/>
        <family val="1"/>
        <charset val="204"/>
      </rPr>
      <t>1</t>
    </r>
  </si>
  <si>
    <r>
      <t>х</t>
    </r>
    <r>
      <rPr>
        <i/>
        <vertAlign val="subscript"/>
        <sz val="14"/>
        <color rgb="FF000000"/>
        <rFont val="Times New Roman"/>
        <family val="1"/>
        <charset val="204"/>
      </rPr>
      <t>2</t>
    </r>
  </si>
  <si>
    <r>
      <t>х</t>
    </r>
    <r>
      <rPr>
        <i/>
        <vertAlign val="subscript"/>
        <sz val="14"/>
        <color rgb="FF000000"/>
        <rFont val="Times New Roman"/>
        <family val="1"/>
        <charset val="204"/>
      </rPr>
      <t>3</t>
    </r>
  </si>
  <si>
    <r>
      <t>х</t>
    </r>
    <r>
      <rPr>
        <i/>
        <vertAlign val="subscript"/>
        <sz val="14"/>
        <color rgb="FF000000"/>
        <rFont val="Times New Roman"/>
        <family val="1"/>
        <charset val="204"/>
      </rPr>
      <t>4</t>
    </r>
  </si>
  <si>
    <t>Переменная X 2</t>
  </si>
  <si>
    <t>Переменная X 3</t>
  </si>
  <si>
    <t>Переменная X 4</t>
  </si>
  <si>
    <t>ВЫВОД ОСТАТКА</t>
  </si>
  <si>
    <t>Наблюдение</t>
  </si>
  <si>
    <t>Предсказанное Y</t>
  </si>
  <si>
    <t>Остатки</t>
  </si>
  <si>
    <r>
      <t>х</t>
    </r>
    <r>
      <rPr>
        <sz val="14"/>
        <color theme="1"/>
        <rFont val="Times New Roman"/>
        <family val="1"/>
        <charset val="204"/>
      </rPr>
      <t>=15</t>
    </r>
  </si>
  <si>
    <t>вар 4</t>
  </si>
  <si>
    <t>Переменная X 5</t>
  </si>
  <si>
    <t>Переменная X 6</t>
  </si>
  <si>
    <t>Переменная X 7</t>
  </si>
  <si>
    <t>Переменная X 8</t>
  </si>
  <si>
    <t>Переменная X 9</t>
  </si>
  <si>
    <t>Переменная X 10</t>
  </si>
  <si>
    <t>xy</t>
  </si>
  <si>
    <t>для x=15 при y = 0.0381x-0,0512</t>
  </si>
  <si>
    <t>x=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</si>
</sst>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rgb="FF000000"/>
      <name val="Times New Roman"/>
      <family val="1"/>
      <charset val="204"/>
    </font>
    <font>
      <i/>
      <vertAlign val="subscript"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 applyAlignment="1"/>
    <xf numFmtId="0" fontId="0" fillId="0" borderId="16" xfId="0" applyFill="1" applyBorder="1" applyAlignment="1"/>
    <xf numFmtId="0" fontId="1" fillId="0" borderId="1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Continuous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1'!$C$1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731189851268592E-2"/>
                  <c:y val="-0.15931867891513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'Задание 1'!$B$2:$B$6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'Задание 1'!$C$2:$C$6</c:f>
              <c:numCache>
                <c:formatCode>General</c:formatCode>
                <c:ptCount val="5"/>
                <c:pt idx="0">
                  <c:v>2.6</c:v>
                </c:pt>
                <c:pt idx="1">
                  <c:v>2.4</c:v>
                </c:pt>
                <c:pt idx="2">
                  <c:v>1.8</c:v>
                </c:pt>
                <c:pt idx="3">
                  <c:v>1.1000000000000001</c:v>
                </c:pt>
                <c:pt idx="4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2-4B8C-83C7-A9C4879D9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09567"/>
        <c:axId val="1042998335"/>
      </c:scatterChart>
      <c:valAx>
        <c:axId val="104300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998335"/>
        <c:crosses val="autoZero"/>
        <c:crossBetween val="midCat"/>
      </c:valAx>
      <c:valAx>
        <c:axId val="10429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300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2'!$A$2:$A$22</c:f>
              <c:numCache>
                <c:formatCode>General</c:formatCode>
                <c:ptCount val="21"/>
                <c:pt idx="0">
                  <c:v>3.2000000000000001E-2</c:v>
                </c:pt>
                <c:pt idx="1">
                  <c:v>2.9000000000000001E-2</c:v>
                </c:pt>
                <c:pt idx="2">
                  <c:v>2.5000000000000001E-2</c:v>
                </c:pt>
                <c:pt idx="3">
                  <c:v>3.1E-2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6.4000000000000001E-2</c:v>
                </c:pt>
                <c:pt idx="7">
                  <c:v>4.5999999999999999E-2</c:v>
                </c:pt>
                <c:pt idx="8">
                  <c:v>7.9000000000000001E-2</c:v>
                </c:pt>
                <c:pt idx="9">
                  <c:v>0.16700000000000001</c:v>
                </c:pt>
                <c:pt idx="10">
                  <c:v>0.16700000000000001</c:v>
                </c:pt>
                <c:pt idx="11">
                  <c:v>0.127</c:v>
                </c:pt>
                <c:pt idx="12">
                  <c:v>0.127</c:v>
                </c:pt>
                <c:pt idx="13">
                  <c:v>0.15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0.217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0.27600000000000002</c:v>
                </c:pt>
                <c:pt idx="20">
                  <c:v>0.27600000000000002</c:v>
                </c:pt>
              </c:numCache>
            </c:numRef>
          </c:xVal>
          <c:yVal>
            <c:numRef>
              <c:f>'Задание 2'!$E$2:$E$22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3.7999999999999999E-2</c:v>
                </c:pt>
                <c:pt idx="2">
                  <c:v>3.3000000000000002E-2</c:v>
                </c:pt>
                <c:pt idx="3">
                  <c:v>4.2000000000000003E-2</c:v>
                </c:pt>
                <c:pt idx="4">
                  <c:v>0.106</c:v>
                </c:pt>
                <c:pt idx="5">
                  <c:v>0.105</c:v>
                </c:pt>
                <c:pt idx="6">
                  <c:v>9.5000000000000001E-2</c:v>
                </c:pt>
                <c:pt idx="7">
                  <c:v>7.0000000000000007E-2</c:v>
                </c:pt>
                <c:pt idx="8">
                  <c:v>0.108</c:v>
                </c:pt>
                <c:pt idx="9">
                  <c:v>0.30099999999999999</c:v>
                </c:pt>
                <c:pt idx="10">
                  <c:v>0.30099999999999999</c:v>
                </c:pt>
                <c:pt idx="11">
                  <c:v>0.22900000000000001</c:v>
                </c:pt>
                <c:pt idx="12">
                  <c:v>0.22900000000000001</c:v>
                </c:pt>
                <c:pt idx="13">
                  <c:v>0.26800000000000002</c:v>
                </c:pt>
                <c:pt idx="14">
                  <c:v>0.26800000000000002</c:v>
                </c:pt>
                <c:pt idx="15">
                  <c:v>0.23799999999999999</c:v>
                </c:pt>
                <c:pt idx="16">
                  <c:v>0.25800000000000001</c:v>
                </c:pt>
                <c:pt idx="17">
                  <c:v>1.542</c:v>
                </c:pt>
                <c:pt idx="18">
                  <c:v>1.5409999999999999</c:v>
                </c:pt>
                <c:pt idx="19">
                  <c:v>1.0680000000000001</c:v>
                </c:pt>
                <c:pt idx="20">
                  <c:v>1.0680000000000001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68-423E-8AA0-EBB30E34037A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2'!$A$2:$A$22</c:f>
              <c:numCache>
                <c:formatCode>General</c:formatCode>
                <c:ptCount val="21"/>
                <c:pt idx="0">
                  <c:v>3.2000000000000001E-2</c:v>
                </c:pt>
                <c:pt idx="1">
                  <c:v>2.9000000000000001E-2</c:v>
                </c:pt>
                <c:pt idx="2">
                  <c:v>2.5000000000000001E-2</c:v>
                </c:pt>
                <c:pt idx="3">
                  <c:v>3.1E-2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6.4000000000000001E-2</c:v>
                </c:pt>
                <c:pt idx="7">
                  <c:v>4.5999999999999999E-2</c:v>
                </c:pt>
                <c:pt idx="8">
                  <c:v>7.9000000000000001E-2</c:v>
                </c:pt>
                <c:pt idx="9">
                  <c:v>0.16700000000000001</c:v>
                </c:pt>
                <c:pt idx="10">
                  <c:v>0.16700000000000001</c:v>
                </c:pt>
                <c:pt idx="11">
                  <c:v>0.127</c:v>
                </c:pt>
                <c:pt idx="12">
                  <c:v>0.127</c:v>
                </c:pt>
                <c:pt idx="13">
                  <c:v>0.15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0.217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0.27600000000000002</c:v>
                </c:pt>
                <c:pt idx="20">
                  <c:v>0.27600000000000002</c:v>
                </c:pt>
              </c:numCache>
            </c:numRef>
          </c:xVal>
          <c:yVal>
            <c:numRef>
              <c:f>'Задание 2'!$H$29:$H$49</c:f>
              <c:numCache>
                <c:formatCode>General</c:formatCode>
                <c:ptCount val="21"/>
                <c:pt idx="0">
                  <c:v>7.3593587382918366E-2</c:v>
                </c:pt>
                <c:pt idx="1">
                  <c:v>7.1151335886015465E-2</c:v>
                </c:pt>
                <c:pt idx="2">
                  <c:v>8.5650666568423683E-2</c:v>
                </c:pt>
                <c:pt idx="3">
                  <c:v>8.098718452431633E-2</c:v>
                </c:pt>
                <c:pt idx="4">
                  <c:v>7.4284072020618874E-2</c:v>
                </c:pt>
                <c:pt idx="5">
                  <c:v>6.8742805496978254E-2</c:v>
                </c:pt>
                <c:pt idx="6">
                  <c:v>4.8290444165037402E-2</c:v>
                </c:pt>
                <c:pt idx="7">
                  <c:v>8.2626434930699766E-2</c:v>
                </c:pt>
                <c:pt idx="8">
                  <c:v>7.7591061499369007E-2</c:v>
                </c:pt>
                <c:pt idx="9">
                  <c:v>0.29480578103478527</c:v>
                </c:pt>
                <c:pt idx="10">
                  <c:v>0.28372324798750403</c:v>
                </c:pt>
                <c:pt idx="11">
                  <c:v>0.19441172904117163</c:v>
                </c:pt>
                <c:pt idx="12">
                  <c:v>0.20549426208845287</c:v>
                </c:pt>
                <c:pt idx="13">
                  <c:v>0.27242589029775732</c:v>
                </c:pt>
                <c:pt idx="14">
                  <c:v>0.24471955767955417</c:v>
                </c:pt>
                <c:pt idx="15">
                  <c:v>0.22668300622533055</c:v>
                </c:pt>
                <c:pt idx="16">
                  <c:v>0.30459144390774906</c:v>
                </c:pt>
                <c:pt idx="17">
                  <c:v>1.4767145442570004</c:v>
                </c:pt>
                <c:pt idx="18">
                  <c:v>1.4904830076297104</c:v>
                </c:pt>
                <c:pt idx="19">
                  <c:v>1.1419013702637679</c:v>
                </c:pt>
                <c:pt idx="20">
                  <c:v>1.1501285671128378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68-423E-8AA0-EBB30E34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09535"/>
        <c:axId val="1103716191"/>
      </c:scatterChart>
      <c:valAx>
        <c:axId val="110370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6191"/>
        <c:crosses val="autoZero"/>
        <c:crossBetween val="midCat"/>
      </c:valAx>
      <c:valAx>
        <c:axId val="1103716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095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2'!$B$2:$B$22</c:f>
              <c:numCache>
                <c:formatCode>General</c:formatCode>
                <c:ptCount val="21"/>
                <c:pt idx="0">
                  <c:v>8.9999999999999993E-3</c:v>
                </c:pt>
                <c:pt idx="1">
                  <c:v>8.0000000000000002E-3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2.9000000000000001E-2</c:v>
                </c:pt>
                <c:pt idx="7">
                  <c:v>2.4E-2</c:v>
                </c:pt>
                <c:pt idx="8">
                  <c:v>0.03</c:v>
                </c:pt>
                <c:pt idx="9">
                  <c:v>0.13400000000000001</c:v>
                </c:pt>
                <c:pt idx="10">
                  <c:v>0.13400000000000001</c:v>
                </c:pt>
                <c:pt idx="11">
                  <c:v>0.10199999999999999</c:v>
                </c:pt>
                <c:pt idx="12">
                  <c:v>0.10199999999999999</c:v>
                </c:pt>
                <c:pt idx="13">
                  <c:v>0.11899999999999999</c:v>
                </c:pt>
                <c:pt idx="14">
                  <c:v>0.11899999999999999</c:v>
                </c:pt>
                <c:pt idx="15">
                  <c:v>9.8000000000000004E-2</c:v>
                </c:pt>
                <c:pt idx="16">
                  <c:v>4.2000000000000003E-2</c:v>
                </c:pt>
                <c:pt idx="17">
                  <c:v>0.79600000000000004</c:v>
                </c:pt>
                <c:pt idx="18">
                  <c:v>0.79600000000000004</c:v>
                </c:pt>
                <c:pt idx="19">
                  <c:v>0.67700000000000005</c:v>
                </c:pt>
                <c:pt idx="20">
                  <c:v>0.67700000000000005</c:v>
                </c:pt>
              </c:numCache>
            </c:numRef>
          </c:xVal>
          <c:yVal>
            <c:numRef>
              <c:f>'Задание 2'!$E$2:$E$22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3.7999999999999999E-2</c:v>
                </c:pt>
                <c:pt idx="2">
                  <c:v>3.3000000000000002E-2</c:v>
                </c:pt>
                <c:pt idx="3">
                  <c:v>4.2000000000000003E-2</c:v>
                </c:pt>
                <c:pt idx="4">
                  <c:v>0.106</c:v>
                </c:pt>
                <c:pt idx="5">
                  <c:v>0.105</c:v>
                </c:pt>
                <c:pt idx="6">
                  <c:v>9.5000000000000001E-2</c:v>
                </c:pt>
                <c:pt idx="7">
                  <c:v>7.0000000000000007E-2</c:v>
                </c:pt>
                <c:pt idx="8">
                  <c:v>0.108</c:v>
                </c:pt>
                <c:pt idx="9">
                  <c:v>0.30099999999999999</c:v>
                </c:pt>
                <c:pt idx="10">
                  <c:v>0.30099999999999999</c:v>
                </c:pt>
                <c:pt idx="11">
                  <c:v>0.22900000000000001</c:v>
                </c:pt>
                <c:pt idx="12">
                  <c:v>0.22900000000000001</c:v>
                </c:pt>
                <c:pt idx="13">
                  <c:v>0.26800000000000002</c:v>
                </c:pt>
                <c:pt idx="14">
                  <c:v>0.26800000000000002</c:v>
                </c:pt>
                <c:pt idx="15">
                  <c:v>0.23799999999999999</c:v>
                </c:pt>
                <c:pt idx="16">
                  <c:v>0.25800000000000001</c:v>
                </c:pt>
                <c:pt idx="17">
                  <c:v>1.542</c:v>
                </c:pt>
                <c:pt idx="18">
                  <c:v>1.5409999999999999</c:v>
                </c:pt>
                <c:pt idx="19">
                  <c:v>1.0680000000000001</c:v>
                </c:pt>
                <c:pt idx="20">
                  <c:v>1.0680000000000001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5-4597-A422-CEA9364B54B2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2'!$B$2:$B$22</c:f>
              <c:numCache>
                <c:formatCode>General</c:formatCode>
                <c:ptCount val="21"/>
                <c:pt idx="0">
                  <c:v>8.9999999999999993E-3</c:v>
                </c:pt>
                <c:pt idx="1">
                  <c:v>8.0000000000000002E-3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2.9000000000000001E-2</c:v>
                </c:pt>
                <c:pt idx="7">
                  <c:v>2.4E-2</c:v>
                </c:pt>
                <c:pt idx="8">
                  <c:v>0.03</c:v>
                </c:pt>
                <c:pt idx="9">
                  <c:v>0.13400000000000001</c:v>
                </c:pt>
                <c:pt idx="10">
                  <c:v>0.13400000000000001</c:v>
                </c:pt>
                <c:pt idx="11">
                  <c:v>0.10199999999999999</c:v>
                </c:pt>
                <c:pt idx="12">
                  <c:v>0.10199999999999999</c:v>
                </c:pt>
                <c:pt idx="13">
                  <c:v>0.11899999999999999</c:v>
                </c:pt>
                <c:pt idx="14">
                  <c:v>0.11899999999999999</c:v>
                </c:pt>
                <c:pt idx="15">
                  <c:v>9.8000000000000004E-2</c:v>
                </c:pt>
                <c:pt idx="16">
                  <c:v>4.2000000000000003E-2</c:v>
                </c:pt>
                <c:pt idx="17">
                  <c:v>0.79600000000000004</c:v>
                </c:pt>
                <c:pt idx="18">
                  <c:v>0.79600000000000004</c:v>
                </c:pt>
                <c:pt idx="19">
                  <c:v>0.67700000000000005</c:v>
                </c:pt>
                <c:pt idx="20">
                  <c:v>0.67700000000000005</c:v>
                </c:pt>
              </c:numCache>
            </c:numRef>
          </c:xVal>
          <c:yVal>
            <c:numRef>
              <c:f>'Задание 2'!$H$29:$H$49</c:f>
              <c:numCache>
                <c:formatCode>General</c:formatCode>
                <c:ptCount val="21"/>
                <c:pt idx="0">
                  <c:v>7.3593587382918366E-2</c:v>
                </c:pt>
                <c:pt idx="1">
                  <c:v>7.1151335886015465E-2</c:v>
                </c:pt>
                <c:pt idx="2">
                  <c:v>8.5650666568423683E-2</c:v>
                </c:pt>
                <c:pt idx="3">
                  <c:v>8.098718452431633E-2</c:v>
                </c:pt>
                <c:pt idx="4">
                  <c:v>7.4284072020618874E-2</c:v>
                </c:pt>
                <c:pt idx="5">
                  <c:v>6.8742805496978254E-2</c:v>
                </c:pt>
                <c:pt idx="6">
                  <c:v>4.8290444165037402E-2</c:v>
                </c:pt>
                <c:pt idx="7">
                  <c:v>8.2626434930699766E-2</c:v>
                </c:pt>
                <c:pt idx="8">
                  <c:v>7.7591061499369007E-2</c:v>
                </c:pt>
                <c:pt idx="9">
                  <c:v>0.29480578103478527</c:v>
                </c:pt>
                <c:pt idx="10">
                  <c:v>0.28372324798750403</c:v>
                </c:pt>
                <c:pt idx="11">
                  <c:v>0.19441172904117163</c:v>
                </c:pt>
                <c:pt idx="12">
                  <c:v>0.20549426208845287</c:v>
                </c:pt>
                <c:pt idx="13">
                  <c:v>0.27242589029775732</c:v>
                </c:pt>
                <c:pt idx="14">
                  <c:v>0.24471955767955417</c:v>
                </c:pt>
                <c:pt idx="15">
                  <c:v>0.22668300622533055</c:v>
                </c:pt>
                <c:pt idx="16">
                  <c:v>0.30459144390774906</c:v>
                </c:pt>
                <c:pt idx="17">
                  <c:v>1.4767145442570004</c:v>
                </c:pt>
                <c:pt idx="18">
                  <c:v>1.4904830076297104</c:v>
                </c:pt>
                <c:pt idx="19">
                  <c:v>1.1419013702637679</c:v>
                </c:pt>
                <c:pt idx="20">
                  <c:v>1.1501285671128378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5-4597-A422-CEA9364B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15359"/>
        <c:axId val="1103715775"/>
      </c:scatterChart>
      <c:valAx>
        <c:axId val="1103715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5775"/>
        <c:crosses val="autoZero"/>
        <c:crossBetween val="midCat"/>
      </c:valAx>
      <c:valAx>
        <c:axId val="110371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5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2'!$C$2:$C$22</c:f>
              <c:numCache>
                <c:formatCode>General</c:formatCode>
                <c:ptCount val="21"/>
                <c:pt idx="0">
                  <c:v>11.27</c:v>
                </c:pt>
                <c:pt idx="1">
                  <c:v>11.15</c:v>
                </c:pt>
                <c:pt idx="2">
                  <c:v>7.7850000000000001</c:v>
                </c:pt>
                <c:pt idx="3">
                  <c:v>10.35</c:v>
                </c:pt>
                <c:pt idx="4">
                  <c:v>25</c:v>
                </c:pt>
                <c:pt idx="5">
                  <c:v>25</c:v>
                </c:pt>
                <c:pt idx="6">
                  <c:v>26.164999999999999</c:v>
                </c:pt>
                <c:pt idx="7">
                  <c:v>16.335000000000001</c:v>
                </c:pt>
                <c:pt idx="8">
                  <c:v>25.95</c:v>
                </c:pt>
                <c:pt idx="9">
                  <c:v>46.86</c:v>
                </c:pt>
                <c:pt idx="10">
                  <c:v>46.86</c:v>
                </c:pt>
                <c:pt idx="11">
                  <c:v>39.145000000000003</c:v>
                </c:pt>
                <c:pt idx="12">
                  <c:v>39.145000000000003</c:v>
                </c:pt>
                <c:pt idx="13">
                  <c:v>42.58</c:v>
                </c:pt>
                <c:pt idx="14">
                  <c:v>42.58</c:v>
                </c:pt>
                <c:pt idx="15">
                  <c:v>39.31</c:v>
                </c:pt>
                <c:pt idx="16">
                  <c:v>31.59</c:v>
                </c:pt>
                <c:pt idx="17">
                  <c:v>106.89</c:v>
                </c:pt>
                <c:pt idx="18">
                  <c:v>106.9</c:v>
                </c:pt>
                <c:pt idx="19">
                  <c:v>112.04</c:v>
                </c:pt>
                <c:pt idx="20">
                  <c:v>112.05</c:v>
                </c:pt>
              </c:numCache>
            </c:numRef>
          </c:xVal>
          <c:yVal>
            <c:numRef>
              <c:f>'Задание 2'!$E$2:$E$22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3.7999999999999999E-2</c:v>
                </c:pt>
                <c:pt idx="2">
                  <c:v>3.3000000000000002E-2</c:v>
                </c:pt>
                <c:pt idx="3">
                  <c:v>4.2000000000000003E-2</c:v>
                </c:pt>
                <c:pt idx="4">
                  <c:v>0.106</c:v>
                </c:pt>
                <c:pt idx="5">
                  <c:v>0.105</c:v>
                </c:pt>
                <c:pt idx="6">
                  <c:v>9.5000000000000001E-2</c:v>
                </c:pt>
                <c:pt idx="7">
                  <c:v>7.0000000000000007E-2</c:v>
                </c:pt>
                <c:pt idx="8">
                  <c:v>0.108</c:v>
                </c:pt>
                <c:pt idx="9">
                  <c:v>0.30099999999999999</c:v>
                </c:pt>
                <c:pt idx="10">
                  <c:v>0.30099999999999999</c:v>
                </c:pt>
                <c:pt idx="11">
                  <c:v>0.22900000000000001</c:v>
                </c:pt>
                <c:pt idx="12">
                  <c:v>0.22900000000000001</c:v>
                </c:pt>
                <c:pt idx="13">
                  <c:v>0.26800000000000002</c:v>
                </c:pt>
                <c:pt idx="14">
                  <c:v>0.26800000000000002</c:v>
                </c:pt>
                <c:pt idx="15">
                  <c:v>0.23799999999999999</c:v>
                </c:pt>
                <c:pt idx="16">
                  <c:v>0.25800000000000001</c:v>
                </c:pt>
                <c:pt idx="17">
                  <c:v>1.542</c:v>
                </c:pt>
                <c:pt idx="18">
                  <c:v>1.5409999999999999</c:v>
                </c:pt>
                <c:pt idx="19">
                  <c:v>1.0680000000000001</c:v>
                </c:pt>
                <c:pt idx="20">
                  <c:v>1.0680000000000001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F0-4ECB-8A79-56B68D3C3A6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2'!$C$2:$C$22</c:f>
              <c:numCache>
                <c:formatCode>General</c:formatCode>
                <c:ptCount val="21"/>
                <c:pt idx="0">
                  <c:v>11.27</c:v>
                </c:pt>
                <c:pt idx="1">
                  <c:v>11.15</c:v>
                </c:pt>
                <c:pt idx="2">
                  <c:v>7.7850000000000001</c:v>
                </c:pt>
                <c:pt idx="3">
                  <c:v>10.35</c:v>
                </c:pt>
                <c:pt idx="4">
                  <c:v>25</c:v>
                </c:pt>
                <c:pt idx="5">
                  <c:v>25</c:v>
                </c:pt>
                <c:pt idx="6">
                  <c:v>26.164999999999999</c:v>
                </c:pt>
                <c:pt idx="7">
                  <c:v>16.335000000000001</c:v>
                </c:pt>
                <c:pt idx="8">
                  <c:v>25.95</c:v>
                </c:pt>
                <c:pt idx="9">
                  <c:v>46.86</c:v>
                </c:pt>
                <c:pt idx="10">
                  <c:v>46.86</c:v>
                </c:pt>
                <c:pt idx="11">
                  <c:v>39.145000000000003</c:v>
                </c:pt>
                <c:pt idx="12">
                  <c:v>39.145000000000003</c:v>
                </c:pt>
                <c:pt idx="13">
                  <c:v>42.58</c:v>
                </c:pt>
                <c:pt idx="14">
                  <c:v>42.58</c:v>
                </c:pt>
                <c:pt idx="15">
                  <c:v>39.31</c:v>
                </c:pt>
                <c:pt idx="16">
                  <c:v>31.59</c:v>
                </c:pt>
                <c:pt idx="17">
                  <c:v>106.89</c:v>
                </c:pt>
                <c:pt idx="18">
                  <c:v>106.9</c:v>
                </c:pt>
                <c:pt idx="19">
                  <c:v>112.04</c:v>
                </c:pt>
                <c:pt idx="20">
                  <c:v>112.05</c:v>
                </c:pt>
              </c:numCache>
            </c:numRef>
          </c:xVal>
          <c:yVal>
            <c:numRef>
              <c:f>'Задание 2'!$H$29:$H$49</c:f>
              <c:numCache>
                <c:formatCode>General</c:formatCode>
                <c:ptCount val="21"/>
                <c:pt idx="0">
                  <c:v>7.3593587382918366E-2</c:v>
                </c:pt>
                <c:pt idx="1">
                  <c:v>7.1151335886015465E-2</c:v>
                </c:pt>
                <c:pt idx="2">
                  <c:v>8.5650666568423683E-2</c:v>
                </c:pt>
                <c:pt idx="3">
                  <c:v>8.098718452431633E-2</c:v>
                </c:pt>
                <c:pt idx="4">
                  <c:v>7.4284072020618874E-2</c:v>
                </c:pt>
                <c:pt idx="5">
                  <c:v>6.8742805496978254E-2</c:v>
                </c:pt>
                <c:pt idx="6">
                  <c:v>4.8290444165037402E-2</c:v>
                </c:pt>
                <c:pt idx="7">
                  <c:v>8.2626434930699766E-2</c:v>
                </c:pt>
                <c:pt idx="8">
                  <c:v>7.7591061499369007E-2</c:v>
                </c:pt>
                <c:pt idx="9">
                  <c:v>0.29480578103478527</c:v>
                </c:pt>
                <c:pt idx="10">
                  <c:v>0.28372324798750403</c:v>
                </c:pt>
                <c:pt idx="11">
                  <c:v>0.19441172904117163</c:v>
                </c:pt>
                <c:pt idx="12">
                  <c:v>0.20549426208845287</c:v>
                </c:pt>
                <c:pt idx="13">
                  <c:v>0.27242589029775732</c:v>
                </c:pt>
                <c:pt idx="14">
                  <c:v>0.24471955767955417</c:v>
                </c:pt>
                <c:pt idx="15">
                  <c:v>0.22668300622533055</c:v>
                </c:pt>
                <c:pt idx="16">
                  <c:v>0.30459144390774906</c:v>
                </c:pt>
                <c:pt idx="17">
                  <c:v>1.4767145442570004</c:v>
                </c:pt>
                <c:pt idx="18">
                  <c:v>1.4904830076297104</c:v>
                </c:pt>
                <c:pt idx="19">
                  <c:v>1.1419013702637679</c:v>
                </c:pt>
                <c:pt idx="20">
                  <c:v>1.1501285671128378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F0-4ECB-8A79-56B68D3C3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12863"/>
        <c:axId val="1103710783"/>
      </c:scatterChart>
      <c:valAx>
        <c:axId val="1103712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0783"/>
        <c:crosses val="autoZero"/>
        <c:crossBetween val="midCat"/>
      </c:valAx>
      <c:valAx>
        <c:axId val="1103710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2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2'!$D$2:$D$22</c:f>
              <c:numCache>
                <c:formatCode>General</c:formatCode>
                <c:ptCount val="21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19</c:v>
                </c:pt>
                <c:pt idx="5">
                  <c:v>21</c:v>
                </c:pt>
                <c:pt idx="6">
                  <c:v>15</c:v>
                </c:pt>
                <c:pt idx="7">
                  <c:v>14</c:v>
                </c:pt>
                <c:pt idx="8">
                  <c:v>18</c:v>
                </c:pt>
                <c:pt idx="9">
                  <c:v>33</c:v>
                </c:pt>
                <c:pt idx="10">
                  <c:v>37</c:v>
                </c:pt>
                <c:pt idx="11">
                  <c:v>34</c:v>
                </c:pt>
                <c:pt idx="12">
                  <c:v>30</c:v>
                </c:pt>
                <c:pt idx="13">
                  <c:v>28</c:v>
                </c:pt>
                <c:pt idx="14">
                  <c:v>38</c:v>
                </c:pt>
                <c:pt idx="15">
                  <c:v>29</c:v>
                </c:pt>
                <c:pt idx="16">
                  <c:v>40</c:v>
                </c:pt>
                <c:pt idx="17">
                  <c:v>64</c:v>
                </c:pt>
                <c:pt idx="18">
                  <c:v>59</c:v>
                </c:pt>
                <c:pt idx="19">
                  <c:v>67</c:v>
                </c:pt>
                <c:pt idx="20">
                  <c:v>64</c:v>
                </c:pt>
              </c:numCache>
            </c:numRef>
          </c:xVal>
          <c:yVal>
            <c:numRef>
              <c:f>'Задание 2'!$E$2:$E$22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3.7999999999999999E-2</c:v>
                </c:pt>
                <c:pt idx="2">
                  <c:v>3.3000000000000002E-2</c:v>
                </c:pt>
                <c:pt idx="3">
                  <c:v>4.2000000000000003E-2</c:v>
                </c:pt>
                <c:pt idx="4">
                  <c:v>0.106</c:v>
                </c:pt>
                <c:pt idx="5">
                  <c:v>0.105</c:v>
                </c:pt>
                <c:pt idx="6">
                  <c:v>9.5000000000000001E-2</c:v>
                </c:pt>
                <c:pt idx="7">
                  <c:v>7.0000000000000007E-2</c:v>
                </c:pt>
                <c:pt idx="8">
                  <c:v>0.108</c:v>
                </c:pt>
                <c:pt idx="9">
                  <c:v>0.30099999999999999</c:v>
                </c:pt>
                <c:pt idx="10">
                  <c:v>0.30099999999999999</c:v>
                </c:pt>
                <c:pt idx="11">
                  <c:v>0.22900000000000001</c:v>
                </c:pt>
                <c:pt idx="12">
                  <c:v>0.22900000000000001</c:v>
                </c:pt>
                <c:pt idx="13">
                  <c:v>0.26800000000000002</c:v>
                </c:pt>
                <c:pt idx="14">
                  <c:v>0.26800000000000002</c:v>
                </c:pt>
                <c:pt idx="15">
                  <c:v>0.23799999999999999</c:v>
                </c:pt>
                <c:pt idx="16">
                  <c:v>0.25800000000000001</c:v>
                </c:pt>
                <c:pt idx="17">
                  <c:v>1.542</c:v>
                </c:pt>
                <c:pt idx="18">
                  <c:v>1.5409999999999999</c:v>
                </c:pt>
                <c:pt idx="19">
                  <c:v>1.0680000000000001</c:v>
                </c:pt>
                <c:pt idx="20">
                  <c:v>1.0680000000000001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C3-4741-BD93-90EFA79E91BE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2'!$D$2:$D$22</c:f>
              <c:numCache>
                <c:formatCode>General</c:formatCode>
                <c:ptCount val="21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19</c:v>
                </c:pt>
                <c:pt idx="5">
                  <c:v>21</c:v>
                </c:pt>
                <c:pt idx="6">
                  <c:v>15</c:v>
                </c:pt>
                <c:pt idx="7">
                  <c:v>14</c:v>
                </c:pt>
                <c:pt idx="8">
                  <c:v>18</c:v>
                </c:pt>
                <c:pt idx="9">
                  <c:v>33</c:v>
                </c:pt>
                <c:pt idx="10">
                  <c:v>37</c:v>
                </c:pt>
                <c:pt idx="11">
                  <c:v>34</c:v>
                </c:pt>
                <c:pt idx="12">
                  <c:v>30</c:v>
                </c:pt>
                <c:pt idx="13">
                  <c:v>28</c:v>
                </c:pt>
                <c:pt idx="14">
                  <c:v>38</c:v>
                </c:pt>
                <c:pt idx="15">
                  <c:v>29</c:v>
                </c:pt>
                <c:pt idx="16">
                  <c:v>40</c:v>
                </c:pt>
                <c:pt idx="17">
                  <c:v>64</c:v>
                </c:pt>
                <c:pt idx="18">
                  <c:v>59</c:v>
                </c:pt>
                <c:pt idx="19">
                  <c:v>67</c:v>
                </c:pt>
                <c:pt idx="20">
                  <c:v>64</c:v>
                </c:pt>
              </c:numCache>
            </c:numRef>
          </c:xVal>
          <c:yVal>
            <c:numRef>
              <c:f>'Задание 2'!$H$29:$H$49</c:f>
              <c:numCache>
                <c:formatCode>General</c:formatCode>
                <c:ptCount val="21"/>
                <c:pt idx="0">
                  <c:v>7.3593587382918366E-2</c:v>
                </c:pt>
                <c:pt idx="1">
                  <c:v>7.1151335886015465E-2</c:v>
                </c:pt>
                <c:pt idx="2">
                  <c:v>8.5650666568423683E-2</c:v>
                </c:pt>
                <c:pt idx="3">
                  <c:v>8.098718452431633E-2</c:v>
                </c:pt>
                <c:pt idx="4">
                  <c:v>7.4284072020618874E-2</c:v>
                </c:pt>
                <c:pt idx="5">
                  <c:v>6.8742805496978254E-2</c:v>
                </c:pt>
                <c:pt idx="6">
                  <c:v>4.8290444165037402E-2</c:v>
                </c:pt>
                <c:pt idx="7">
                  <c:v>8.2626434930699766E-2</c:v>
                </c:pt>
                <c:pt idx="8">
                  <c:v>7.7591061499369007E-2</c:v>
                </c:pt>
                <c:pt idx="9">
                  <c:v>0.29480578103478527</c:v>
                </c:pt>
                <c:pt idx="10">
                  <c:v>0.28372324798750403</c:v>
                </c:pt>
                <c:pt idx="11">
                  <c:v>0.19441172904117163</c:v>
                </c:pt>
                <c:pt idx="12">
                  <c:v>0.20549426208845287</c:v>
                </c:pt>
                <c:pt idx="13">
                  <c:v>0.27242589029775732</c:v>
                </c:pt>
                <c:pt idx="14">
                  <c:v>0.24471955767955417</c:v>
                </c:pt>
                <c:pt idx="15">
                  <c:v>0.22668300622533055</c:v>
                </c:pt>
                <c:pt idx="16">
                  <c:v>0.30459144390774906</c:v>
                </c:pt>
                <c:pt idx="17">
                  <c:v>1.4767145442570004</c:v>
                </c:pt>
                <c:pt idx="18">
                  <c:v>1.4904830076297104</c:v>
                </c:pt>
                <c:pt idx="19">
                  <c:v>1.1419013702637679</c:v>
                </c:pt>
                <c:pt idx="20">
                  <c:v>1.1501285671128378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C3-4741-BD93-90EFA79E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12447"/>
        <c:axId val="1103712863"/>
      </c:scatterChart>
      <c:valAx>
        <c:axId val="1103712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2863"/>
        <c:crosses val="autoZero"/>
        <c:crossBetween val="midCat"/>
      </c:valAx>
      <c:valAx>
        <c:axId val="1103712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7124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0788057742782152E-2"/>
                  <c:y val="-6.9542140565762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'Задание 3'!$B$1:$K$1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18</c:v>
                </c:pt>
                <c:pt idx="9">
                  <c:v>19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6D-4ABA-8A5C-F03D0F660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389695"/>
        <c:axId val="1116393855"/>
      </c:scatterChart>
      <c:valAx>
        <c:axId val="111638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6393855"/>
        <c:crosses val="autoZero"/>
        <c:crossBetween val="midCat"/>
      </c:valAx>
      <c:valAx>
        <c:axId val="11163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638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3'!$B$1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73-444D-9E3C-5087C23ABC53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3'!$B$1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73-444D-9E3C-5087C23A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32864"/>
        <c:axId val="601034528"/>
      </c:scatterChart>
      <c:valAx>
        <c:axId val="60103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4528"/>
        <c:crosses val="autoZero"/>
        <c:crossBetween val="midCat"/>
      </c:valAx>
      <c:valAx>
        <c:axId val="60103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28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2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3'!$C$1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C7-497A-A4DA-2907AFD373FB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3'!$C$1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C7-497A-A4DA-2907AFD3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36608"/>
        <c:axId val="601049088"/>
      </c:scatterChart>
      <c:valAx>
        <c:axId val="60103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9088"/>
        <c:crosses val="autoZero"/>
        <c:crossBetween val="midCat"/>
      </c:valAx>
      <c:valAx>
        <c:axId val="601049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66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3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3'!$D$1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AA-4F36-A209-047295D08854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3'!$D$1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AA-4F36-A209-047295D08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40768"/>
        <c:axId val="601051168"/>
      </c:scatterChart>
      <c:valAx>
        <c:axId val="60104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51168"/>
        <c:crosses val="autoZero"/>
        <c:crossBetween val="midCat"/>
      </c:valAx>
      <c:valAx>
        <c:axId val="601051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07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4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3'!$E$1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1A-41A2-A433-ED62ACB10DBC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3'!$E$1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1A-41A2-A433-ED62ACB10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37440"/>
        <c:axId val="601051584"/>
      </c:scatterChart>
      <c:valAx>
        <c:axId val="60103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51584"/>
        <c:crosses val="autoZero"/>
        <c:crossBetween val="midCat"/>
      </c:valAx>
      <c:valAx>
        <c:axId val="601051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7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5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3'!$F$1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E5-4EE7-A33D-B6362F4A39B0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3'!$F$1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E5-4EE7-A33D-B6362F4A3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52000"/>
        <c:axId val="601037440"/>
      </c:scatterChart>
      <c:valAx>
        <c:axId val="60105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7440"/>
        <c:crosses val="autoZero"/>
        <c:crossBetween val="midCat"/>
      </c:valAx>
      <c:valAx>
        <c:axId val="60103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52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6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3'!$G$1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2B-4295-9710-1E4BF0BA1982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3'!$G$1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2B-4295-9710-1E4BF0BA1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37024"/>
        <c:axId val="601041184"/>
      </c:scatterChart>
      <c:valAx>
        <c:axId val="60103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1184"/>
        <c:crosses val="autoZero"/>
        <c:crossBetween val="midCat"/>
      </c:valAx>
      <c:valAx>
        <c:axId val="601041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7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7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3'!$H$1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24-4FC4-8C80-8F9E41EF45BD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3'!$H$1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24-4FC4-8C80-8F9E41EF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46592"/>
        <c:axId val="601052000"/>
      </c:scatterChart>
      <c:valAx>
        <c:axId val="60104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52000"/>
        <c:crosses val="autoZero"/>
        <c:crossBetween val="midCat"/>
      </c:valAx>
      <c:valAx>
        <c:axId val="601052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65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8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3'!$I$1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CE-4EAF-8AB1-D7ABCC69793E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3'!$I$1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CE-4EAF-8AB1-D7ABCC69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37024"/>
        <c:axId val="601040768"/>
      </c:scatterChart>
      <c:valAx>
        <c:axId val="60103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0768"/>
        <c:crosses val="autoZero"/>
        <c:crossBetween val="midCat"/>
      </c:valAx>
      <c:valAx>
        <c:axId val="601040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7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9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3'!$J$1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44-4067-904D-3AE4EF0DE0EE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3'!$J$1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44-4067-904D-3AE4EF0DE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27456"/>
        <c:axId val="601037024"/>
      </c:scatterChart>
      <c:valAx>
        <c:axId val="60102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37024"/>
        <c:crosses val="autoZero"/>
        <c:crossBetween val="midCat"/>
      </c:valAx>
      <c:valAx>
        <c:axId val="60103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274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10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'Задание 3'!$K$1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'Задание 3'!$B$2:$K$2</c:f>
              <c:numCache>
                <c:formatCode>General</c:formatCode>
                <c:ptCount val="10"/>
                <c:pt idx="0">
                  <c:v>0.11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0.64</c:v>
                </c:pt>
                <c:pt idx="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A5-47B0-929E-BB0B83AF6418}"/>
            </c:ext>
          </c:extLst>
        </c:ser>
        <c:ser>
          <c:idx val="1"/>
          <c:order val="1"/>
          <c:tx>
            <c:v>Предсказанное Y</c:v>
          </c:tx>
          <c:spPr>
            <a:ln w="19050">
              <a:noFill/>
            </a:ln>
          </c:spPr>
          <c:xVal>
            <c:numRef>
              <c:f>'Задание 3'!$K$1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'Задание 3'!$D$74</c:f>
              <c:numCache>
                <c:formatCode>General</c:formatCode>
                <c:ptCount val="1"/>
                <c:pt idx="0">
                  <c:v>5.8080871234313125E+180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A5-47B0-929E-BB0B83AF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44096"/>
        <c:axId val="601027456"/>
      </c:scatterChart>
      <c:valAx>
        <c:axId val="60104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27456"/>
        <c:crosses val="autoZero"/>
        <c:crossBetween val="midCat"/>
      </c:valAx>
      <c:valAx>
        <c:axId val="601027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1044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wmf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image" Target="../media/image2.wmf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42862</xdr:rowOff>
    </xdr:from>
    <xdr:to>
      <xdr:col>7</xdr:col>
      <xdr:colOff>304800</xdr:colOff>
      <xdr:row>23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254A53-0D60-4565-9B32-38B121358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542925</xdr:colOff>
      <xdr:row>0</xdr:row>
      <xdr:rowOff>76200</xdr:rowOff>
    </xdr:from>
    <xdr:to>
      <xdr:col>16</xdr:col>
      <xdr:colOff>513896</xdr:colOff>
      <xdr:row>3</xdr:row>
      <xdr:rowOff>123745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6E5F8C1-2A55-4D5B-A55A-45E8D2E0D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76200"/>
          <a:ext cx="3628571" cy="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34</xdr:row>
      <xdr:rowOff>150813</xdr:rowOff>
    </xdr:from>
    <xdr:to>
      <xdr:col>7</xdr:col>
      <xdr:colOff>587375</xdr:colOff>
      <xdr:row>50</xdr:row>
      <xdr:rowOff>85725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871A309-D160-4A30-ABC0-58C17C978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6704013"/>
          <a:ext cx="3987800" cy="2982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3177</xdr:colOff>
      <xdr:row>20</xdr:row>
      <xdr:rowOff>104775</xdr:rowOff>
    </xdr:from>
    <xdr:to>
      <xdr:col>25</xdr:col>
      <xdr:colOff>92875</xdr:colOff>
      <xdr:row>52</xdr:row>
      <xdr:rowOff>180976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86BAA8E0-326A-4F35-B5F0-D8336A8BB9B3}"/>
            </a:ext>
          </a:extLst>
        </xdr:cNvPr>
        <xdr:cNvGrpSpPr>
          <a:grpSpLocks/>
        </xdr:cNvGrpSpPr>
      </xdr:nvGrpSpPr>
      <xdr:grpSpPr bwMode="auto">
        <a:xfrm>
          <a:off x="4879977" y="3990975"/>
          <a:ext cx="10452898" cy="6172201"/>
          <a:chOff x="2592" y="240"/>
          <a:chExt cx="6078" cy="3888"/>
        </a:xfrm>
      </xdr:grpSpPr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748A870C-1184-4E0A-B1D6-A2322E3AB1A6}"/>
              </a:ext>
            </a:extLst>
          </xdr:cNvPr>
          <xdr:cNvSpPr>
            <a:spLocks noChangeShapeType="1"/>
          </xdr:cNvSpPr>
        </xdr:nvSpPr>
        <xdr:spPr bwMode="auto">
          <a:xfrm flipV="1">
            <a:off x="2911" y="470"/>
            <a:ext cx="1082" cy="6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7" name="Group 7">
            <a:extLst>
              <a:ext uri="{FF2B5EF4-FFF2-40B4-BE49-F238E27FC236}">
                <a16:creationId xmlns:a16="http://schemas.microsoft.com/office/drawing/2014/main" id="{1CB7CB1E-FFF1-46F5-AEE4-902F285EEE62}"/>
              </a:ext>
            </a:extLst>
          </xdr:cNvPr>
          <xdr:cNvGrpSpPr>
            <a:grpSpLocks/>
          </xdr:cNvGrpSpPr>
        </xdr:nvGrpSpPr>
        <xdr:grpSpPr bwMode="auto">
          <a:xfrm>
            <a:off x="4167" y="289"/>
            <a:ext cx="2880" cy="1216"/>
            <a:chOff x="2880" y="1008"/>
            <a:chExt cx="2880" cy="2880"/>
          </a:xfrm>
        </xdr:grpSpPr>
        <xdr:sp macro="" textlink="">
          <xdr:nvSpPr>
            <xdr:cNvPr id="49" name="Line 8">
              <a:extLst>
                <a:ext uri="{FF2B5EF4-FFF2-40B4-BE49-F238E27FC236}">
                  <a16:creationId xmlns:a16="http://schemas.microsoft.com/office/drawing/2014/main" id="{C52F7A00-8820-4DD6-B555-902CDAD54D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50" name="Line 9">
              <a:extLst>
                <a:ext uri="{FF2B5EF4-FFF2-40B4-BE49-F238E27FC236}">
                  <a16:creationId xmlns:a16="http://schemas.microsoft.com/office/drawing/2014/main" id="{15CC77A6-0DEA-48E7-AFAD-1E3B09D22D5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51" name="Text Box 10">
              <a:extLst>
                <a:ext uri="{FF2B5EF4-FFF2-40B4-BE49-F238E27FC236}">
                  <a16:creationId xmlns:a16="http://schemas.microsoft.com/office/drawing/2014/main" id="{527C47DE-000E-4141-979A-0637DCF3AC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2" name="Text Box 11">
              <a:extLst>
                <a:ext uri="{FF2B5EF4-FFF2-40B4-BE49-F238E27FC236}">
                  <a16:creationId xmlns:a16="http://schemas.microsoft.com/office/drawing/2014/main" id="{3112F9D1-281F-4483-A08B-AD77CB982C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3" name="Text Box 12">
              <a:extLst>
                <a:ext uri="{FF2B5EF4-FFF2-40B4-BE49-F238E27FC236}">
                  <a16:creationId xmlns:a16="http://schemas.microsoft.com/office/drawing/2014/main" id="{50D0EC0B-B0F0-4CE7-B1F2-D331EE19F4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4" name="Text Box 13">
              <a:extLst>
                <a:ext uri="{FF2B5EF4-FFF2-40B4-BE49-F238E27FC236}">
                  <a16:creationId xmlns:a16="http://schemas.microsoft.com/office/drawing/2014/main" id="{CB208AA0-D72F-4FB5-BA1B-88BD04A7A3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a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grpSp>
        <xdr:nvGrpSpPr>
          <xdr:cNvPr id="8" name="Group 14">
            <a:extLst>
              <a:ext uri="{FF2B5EF4-FFF2-40B4-BE49-F238E27FC236}">
                <a16:creationId xmlns:a16="http://schemas.microsoft.com/office/drawing/2014/main" id="{7868E355-D2A3-4627-AAD8-2B366B82A20E}"/>
              </a:ext>
            </a:extLst>
          </xdr:cNvPr>
          <xdr:cNvGrpSpPr>
            <a:grpSpLocks/>
          </xdr:cNvGrpSpPr>
        </xdr:nvGrpSpPr>
        <xdr:grpSpPr bwMode="auto">
          <a:xfrm>
            <a:off x="5790" y="289"/>
            <a:ext cx="2880" cy="1216"/>
            <a:chOff x="2880" y="1008"/>
            <a:chExt cx="2880" cy="2880"/>
          </a:xfrm>
        </xdr:grpSpPr>
        <xdr:sp macro="" textlink="">
          <xdr:nvSpPr>
            <xdr:cNvPr id="43" name="Line 15">
              <a:extLst>
                <a:ext uri="{FF2B5EF4-FFF2-40B4-BE49-F238E27FC236}">
                  <a16:creationId xmlns:a16="http://schemas.microsoft.com/office/drawing/2014/main" id="{65CC5696-E4DD-4AB3-902D-4F24348C88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44" name="Line 16">
              <a:extLst>
                <a:ext uri="{FF2B5EF4-FFF2-40B4-BE49-F238E27FC236}">
                  <a16:creationId xmlns:a16="http://schemas.microsoft.com/office/drawing/2014/main" id="{84D5886C-3419-470B-B083-670B821036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45" name="Text Box 17">
              <a:extLst>
                <a:ext uri="{FF2B5EF4-FFF2-40B4-BE49-F238E27FC236}">
                  <a16:creationId xmlns:a16="http://schemas.microsoft.com/office/drawing/2014/main" id="{A74AA27C-1BAF-4EE9-86D1-3A5065C15C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6" name="Text Box 18">
              <a:extLst>
                <a:ext uri="{FF2B5EF4-FFF2-40B4-BE49-F238E27FC236}">
                  <a16:creationId xmlns:a16="http://schemas.microsoft.com/office/drawing/2014/main" id="{451A0514-3B4A-4DCA-B338-50CFC62534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7" name="Text Box 19">
              <a:extLst>
                <a:ext uri="{FF2B5EF4-FFF2-40B4-BE49-F238E27FC236}">
                  <a16:creationId xmlns:a16="http://schemas.microsoft.com/office/drawing/2014/main" id="{6D76A3DC-EE2A-44CB-AE94-12F8982BA9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8" name="Text Box 20">
              <a:extLst>
                <a:ext uri="{FF2B5EF4-FFF2-40B4-BE49-F238E27FC236}">
                  <a16:creationId xmlns:a16="http://schemas.microsoft.com/office/drawing/2014/main" id="{3578E539-CDCF-4411-8034-749BF33DA47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б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9" name="Freeform 21">
            <a:extLst>
              <a:ext uri="{FF2B5EF4-FFF2-40B4-BE49-F238E27FC236}">
                <a16:creationId xmlns:a16="http://schemas.microsoft.com/office/drawing/2014/main" id="{9A6E0F0B-F7B6-4881-99A7-14F274452A56}"/>
              </a:ext>
            </a:extLst>
          </xdr:cNvPr>
          <xdr:cNvSpPr>
            <a:spLocks/>
          </xdr:cNvSpPr>
        </xdr:nvSpPr>
        <xdr:spPr bwMode="auto">
          <a:xfrm>
            <a:off x="4399" y="531"/>
            <a:ext cx="1217" cy="608"/>
          </a:xfrm>
          <a:custGeom>
            <a:avLst/>
            <a:gdLst>
              <a:gd name="T0" fmla="*/ 0 w 2592"/>
              <a:gd name="T1" fmla="*/ 608 h 1440"/>
              <a:gd name="T2" fmla="*/ 609 w 2592"/>
              <a:gd name="T3" fmla="*/ 0 h 1440"/>
              <a:gd name="T4" fmla="*/ 1217 w 2592"/>
              <a:gd name="T5" fmla="*/ 608 h 14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592" h="1440">
                <a:moveTo>
                  <a:pt x="0" y="1440"/>
                </a:moveTo>
                <a:cubicBezTo>
                  <a:pt x="432" y="720"/>
                  <a:pt x="864" y="0"/>
                  <a:pt x="1296" y="0"/>
                </a:cubicBezTo>
                <a:cubicBezTo>
                  <a:pt x="1728" y="0"/>
                  <a:pt x="2160" y="720"/>
                  <a:pt x="2592" y="144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10" name="Group 22">
            <a:extLst>
              <a:ext uri="{FF2B5EF4-FFF2-40B4-BE49-F238E27FC236}">
                <a16:creationId xmlns:a16="http://schemas.microsoft.com/office/drawing/2014/main" id="{CB60C22F-9961-4817-8D82-68BD7DB393F1}"/>
              </a:ext>
            </a:extLst>
          </xdr:cNvPr>
          <xdr:cNvGrpSpPr>
            <a:grpSpLocks/>
          </xdr:cNvGrpSpPr>
        </xdr:nvGrpSpPr>
        <xdr:grpSpPr bwMode="auto">
          <a:xfrm>
            <a:off x="4167" y="1504"/>
            <a:ext cx="2880" cy="1216"/>
            <a:chOff x="2880" y="1008"/>
            <a:chExt cx="2880" cy="2880"/>
          </a:xfrm>
        </xdr:grpSpPr>
        <xdr:sp macro="" textlink="">
          <xdr:nvSpPr>
            <xdr:cNvPr id="37" name="Line 23">
              <a:extLst>
                <a:ext uri="{FF2B5EF4-FFF2-40B4-BE49-F238E27FC236}">
                  <a16:creationId xmlns:a16="http://schemas.microsoft.com/office/drawing/2014/main" id="{A75237C2-64A9-4C91-AE59-6D67B6C67E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8" name="Line 24">
              <a:extLst>
                <a:ext uri="{FF2B5EF4-FFF2-40B4-BE49-F238E27FC236}">
                  <a16:creationId xmlns:a16="http://schemas.microsoft.com/office/drawing/2014/main" id="{BB56F1EB-F987-452D-8909-5B0C5C8CA40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9" name="Text Box 25">
              <a:extLst>
                <a:ext uri="{FF2B5EF4-FFF2-40B4-BE49-F238E27FC236}">
                  <a16:creationId xmlns:a16="http://schemas.microsoft.com/office/drawing/2014/main" id="{012C7451-110D-4FAC-BD5A-5DFDB2B2282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0" name="Text Box 26">
              <a:extLst>
                <a:ext uri="{FF2B5EF4-FFF2-40B4-BE49-F238E27FC236}">
                  <a16:creationId xmlns:a16="http://schemas.microsoft.com/office/drawing/2014/main" id="{490EEA58-126F-467F-BB8C-E70BCCF793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1" name="Text Box 27">
              <a:extLst>
                <a:ext uri="{FF2B5EF4-FFF2-40B4-BE49-F238E27FC236}">
                  <a16:creationId xmlns:a16="http://schemas.microsoft.com/office/drawing/2014/main" id="{CF1B6385-90CA-43D8-AA4D-E6B0358B33E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2" name="Text Box 28">
              <a:extLst>
                <a:ext uri="{FF2B5EF4-FFF2-40B4-BE49-F238E27FC236}">
                  <a16:creationId xmlns:a16="http://schemas.microsoft.com/office/drawing/2014/main" id="{E220B3DD-F493-4E39-A2F9-0D40D2BC59F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в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1" name="Freeform 29">
            <a:extLst>
              <a:ext uri="{FF2B5EF4-FFF2-40B4-BE49-F238E27FC236}">
                <a16:creationId xmlns:a16="http://schemas.microsoft.com/office/drawing/2014/main" id="{0FE9DE52-D447-418A-8CCC-02ADDE0C7B24}"/>
              </a:ext>
            </a:extLst>
          </xdr:cNvPr>
          <xdr:cNvSpPr>
            <a:spLocks/>
          </xdr:cNvSpPr>
        </xdr:nvSpPr>
        <xdr:spPr bwMode="auto">
          <a:xfrm>
            <a:off x="2775" y="1625"/>
            <a:ext cx="1285" cy="729"/>
          </a:xfrm>
          <a:custGeom>
            <a:avLst/>
            <a:gdLst>
              <a:gd name="T0" fmla="*/ 0 w 2736"/>
              <a:gd name="T1" fmla="*/ 0 h 1728"/>
              <a:gd name="T2" fmla="*/ 473 w 2736"/>
              <a:gd name="T3" fmla="*/ 608 h 1728"/>
              <a:gd name="T4" fmla="*/ 1285 w 2736"/>
              <a:gd name="T5" fmla="*/ 729 h 172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736" h="1728">
                <a:moveTo>
                  <a:pt x="0" y="0"/>
                </a:moveTo>
                <a:cubicBezTo>
                  <a:pt x="276" y="576"/>
                  <a:pt x="552" y="1152"/>
                  <a:pt x="1008" y="1440"/>
                </a:cubicBezTo>
                <a:cubicBezTo>
                  <a:pt x="1464" y="1728"/>
                  <a:pt x="2100" y="1728"/>
                  <a:pt x="2736" y="172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12" name="Group 30">
            <a:extLst>
              <a:ext uri="{FF2B5EF4-FFF2-40B4-BE49-F238E27FC236}">
                <a16:creationId xmlns:a16="http://schemas.microsoft.com/office/drawing/2014/main" id="{B823A928-7425-4EFA-A561-72354DD632E1}"/>
              </a:ext>
            </a:extLst>
          </xdr:cNvPr>
          <xdr:cNvGrpSpPr>
            <a:grpSpLocks/>
          </xdr:cNvGrpSpPr>
        </xdr:nvGrpSpPr>
        <xdr:grpSpPr bwMode="auto">
          <a:xfrm>
            <a:off x="5790" y="1504"/>
            <a:ext cx="2880" cy="1216"/>
            <a:chOff x="2880" y="1008"/>
            <a:chExt cx="2880" cy="2880"/>
          </a:xfrm>
        </xdr:grpSpPr>
        <xdr:sp macro="" textlink="">
          <xdr:nvSpPr>
            <xdr:cNvPr id="31" name="Line 31">
              <a:extLst>
                <a:ext uri="{FF2B5EF4-FFF2-40B4-BE49-F238E27FC236}">
                  <a16:creationId xmlns:a16="http://schemas.microsoft.com/office/drawing/2014/main" id="{4CCCCB41-55E2-4F69-9F76-C3E32C7B4C8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2" name="Line 32">
              <a:extLst>
                <a:ext uri="{FF2B5EF4-FFF2-40B4-BE49-F238E27FC236}">
                  <a16:creationId xmlns:a16="http://schemas.microsoft.com/office/drawing/2014/main" id="{26F7B3A4-7B15-4387-AFD5-B828606E62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3" name="Text Box 33">
              <a:extLst>
                <a:ext uri="{FF2B5EF4-FFF2-40B4-BE49-F238E27FC236}">
                  <a16:creationId xmlns:a16="http://schemas.microsoft.com/office/drawing/2014/main" id="{8D6EC537-580F-4BD4-A553-458CF89AB02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4" name="Text Box 34">
              <a:extLst>
                <a:ext uri="{FF2B5EF4-FFF2-40B4-BE49-F238E27FC236}">
                  <a16:creationId xmlns:a16="http://schemas.microsoft.com/office/drawing/2014/main" id="{C4A7451B-3EA7-43B8-901E-944927D957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5" name="Text Box 35">
              <a:extLst>
                <a:ext uri="{FF2B5EF4-FFF2-40B4-BE49-F238E27FC236}">
                  <a16:creationId xmlns:a16="http://schemas.microsoft.com/office/drawing/2014/main" id="{A77C734D-6A91-4295-8421-69E06D4998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6" name="Text Box 36">
              <a:extLst>
                <a:ext uri="{FF2B5EF4-FFF2-40B4-BE49-F238E27FC236}">
                  <a16:creationId xmlns:a16="http://schemas.microsoft.com/office/drawing/2014/main" id="{4CC40E96-9407-402A-B09B-9DEA5EA4131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г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3" name="Freeform 37">
            <a:extLst>
              <a:ext uri="{FF2B5EF4-FFF2-40B4-BE49-F238E27FC236}">
                <a16:creationId xmlns:a16="http://schemas.microsoft.com/office/drawing/2014/main" id="{27D694B3-D38B-4422-B7C1-E8C67009663F}"/>
              </a:ext>
            </a:extLst>
          </xdr:cNvPr>
          <xdr:cNvSpPr>
            <a:spLocks/>
          </xdr:cNvSpPr>
        </xdr:nvSpPr>
        <xdr:spPr bwMode="auto">
          <a:xfrm>
            <a:off x="4399" y="1685"/>
            <a:ext cx="1082" cy="679"/>
          </a:xfrm>
          <a:custGeom>
            <a:avLst/>
            <a:gdLst>
              <a:gd name="T0" fmla="*/ 0 w 2304"/>
              <a:gd name="T1" fmla="*/ 679 h 1608"/>
              <a:gd name="T2" fmla="*/ 338 w 2304"/>
              <a:gd name="T3" fmla="*/ 10 h 1608"/>
              <a:gd name="T4" fmla="*/ 812 w 2304"/>
              <a:gd name="T5" fmla="*/ 618 h 1608"/>
              <a:gd name="T6" fmla="*/ 1082 w 2304"/>
              <a:gd name="T7" fmla="*/ 10 h 160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2304" h="1608">
                <a:moveTo>
                  <a:pt x="0" y="1608"/>
                </a:moveTo>
                <a:cubicBezTo>
                  <a:pt x="216" y="828"/>
                  <a:pt x="432" y="48"/>
                  <a:pt x="720" y="24"/>
                </a:cubicBezTo>
                <a:cubicBezTo>
                  <a:pt x="1008" y="0"/>
                  <a:pt x="1464" y="1464"/>
                  <a:pt x="1728" y="1464"/>
                </a:cubicBezTo>
                <a:cubicBezTo>
                  <a:pt x="1992" y="1464"/>
                  <a:pt x="2148" y="744"/>
                  <a:pt x="2304" y="24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4" name="Freeform 38">
            <a:extLst>
              <a:ext uri="{FF2B5EF4-FFF2-40B4-BE49-F238E27FC236}">
                <a16:creationId xmlns:a16="http://schemas.microsoft.com/office/drawing/2014/main" id="{CA88F8F7-4F4F-4810-A494-C0ED551258C7}"/>
              </a:ext>
            </a:extLst>
          </xdr:cNvPr>
          <xdr:cNvSpPr>
            <a:spLocks/>
          </xdr:cNvSpPr>
        </xdr:nvSpPr>
        <xdr:spPr bwMode="auto">
          <a:xfrm>
            <a:off x="2713" y="3080"/>
            <a:ext cx="1014" cy="668"/>
          </a:xfrm>
          <a:custGeom>
            <a:avLst/>
            <a:gdLst>
              <a:gd name="T0" fmla="*/ 0 w 2160"/>
              <a:gd name="T1" fmla="*/ 668 h 1584"/>
              <a:gd name="T2" fmla="*/ 338 w 2160"/>
              <a:gd name="T3" fmla="*/ 182 h 1584"/>
              <a:gd name="T4" fmla="*/ 1014 w 2160"/>
              <a:gd name="T5" fmla="*/ 0 h 15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" h="1584">
                <a:moveTo>
                  <a:pt x="0" y="1584"/>
                </a:moveTo>
                <a:cubicBezTo>
                  <a:pt x="180" y="1140"/>
                  <a:pt x="360" y="696"/>
                  <a:pt x="720" y="432"/>
                </a:cubicBezTo>
                <a:cubicBezTo>
                  <a:pt x="1080" y="168"/>
                  <a:pt x="1620" y="84"/>
                  <a:pt x="216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5" name="Freeform 39">
            <a:extLst>
              <a:ext uri="{FF2B5EF4-FFF2-40B4-BE49-F238E27FC236}">
                <a16:creationId xmlns:a16="http://schemas.microsoft.com/office/drawing/2014/main" id="{AEA73567-8C40-4863-BEDB-E11218BAE682}"/>
              </a:ext>
            </a:extLst>
          </xdr:cNvPr>
          <xdr:cNvSpPr>
            <a:spLocks/>
          </xdr:cNvSpPr>
        </xdr:nvSpPr>
        <xdr:spPr bwMode="auto">
          <a:xfrm rot="10800000">
            <a:off x="4534" y="2840"/>
            <a:ext cx="744" cy="789"/>
          </a:xfrm>
          <a:custGeom>
            <a:avLst/>
            <a:gdLst>
              <a:gd name="T0" fmla="*/ 0 w 1584"/>
              <a:gd name="T1" fmla="*/ 789 h 1872"/>
              <a:gd name="T2" fmla="*/ 271 w 1584"/>
              <a:gd name="T3" fmla="*/ 182 h 1872"/>
              <a:gd name="T4" fmla="*/ 744 w 1584"/>
              <a:gd name="T5" fmla="*/ 0 h 187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584" h="1872">
                <a:moveTo>
                  <a:pt x="0" y="1872"/>
                </a:moveTo>
                <a:cubicBezTo>
                  <a:pt x="156" y="1308"/>
                  <a:pt x="312" y="744"/>
                  <a:pt x="576" y="432"/>
                </a:cubicBezTo>
                <a:cubicBezTo>
                  <a:pt x="840" y="120"/>
                  <a:pt x="1212" y="60"/>
                  <a:pt x="1584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16" name="Group 40">
            <a:extLst>
              <a:ext uri="{FF2B5EF4-FFF2-40B4-BE49-F238E27FC236}">
                <a16:creationId xmlns:a16="http://schemas.microsoft.com/office/drawing/2014/main" id="{91D7E691-DACD-4DBB-B7AF-A7B134AAF022}"/>
              </a:ext>
            </a:extLst>
          </xdr:cNvPr>
          <xdr:cNvGrpSpPr>
            <a:grpSpLocks/>
          </xdr:cNvGrpSpPr>
        </xdr:nvGrpSpPr>
        <xdr:grpSpPr bwMode="auto">
          <a:xfrm>
            <a:off x="4167" y="2780"/>
            <a:ext cx="2880" cy="1216"/>
            <a:chOff x="2880" y="1008"/>
            <a:chExt cx="2880" cy="2880"/>
          </a:xfrm>
        </xdr:grpSpPr>
        <xdr:sp macro="" textlink="">
          <xdr:nvSpPr>
            <xdr:cNvPr id="25" name="Line 41">
              <a:extLst>
                <a:ext uri="{FF2B5EF4-FFF2-40B4-BE49-F238E27FC236}">
                  <a16:creationId xmlns:a16="http://schemas.microsoft.com/office/drawing/2014/main" id="{51250209-D0E9-49E1-A364-8C076C4309B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6" name="Line 42">
              <a:extLst>
                <a:ext uri="{FF2B5EF4-FFF2-40B4-BE49-F238E27FC236}">
                  <a16:creationId xmlns:a16="http://schemas.microsoft.com/office/drawing/2014/main" id="{EBF848D5-E326-4FA8-A12A-3B0A1FBCFE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7" name="Text Box 43">
              <a:extLst>
                <a:ext uri="{FF2B5EF4-FFF2-40B4-BE49-F238E27FC236}">
                  <a16:creationId xmlns:a16="http://schemas.microsoft.com/office/drawing/2014/main" id="{22E3AD61-65F6-4792-A3E6-B821475590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8" name="Text Box 44">
              <a:extLst>
                <a:ext uri="{FF2B5EF4-FFF2-40B4-BE49-F238E27FC236}">
                  <a16:creationId xmlns:a16="http://schemas.microsoft.com/office/drawing/2014/main" id="{AF0315B9-F618-4401-811B-D29F3D8313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9" name="Text Box 45">
              <a:extLst>
                <a:ext uri="{FF2B5EF4-FFF2-40B4-BE49-F238E27FC236}">
                  <a16:creationId xmlns:a16="http://schemas.microsoft.com/office/drawing/2014/main" id="{41C36ED5-9809-4A2C-96ED-B7E9F8F7371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0" name="Text Box 46">
              <a:extLst>
                <a:ext uri="{FF2B5EF4-FFF2-40B4-BE49-F238E27FC236}">
                  <a16:creationId xmlns:a16="http://schemas.microsoft.com/office/drawing/2014/main" id="{FF68D3E3-7B0C-4186-B52F-ABF33DA84D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д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grpSp>
        <xdr:nvGrpSpPr>
          <xdr:cNvPr id="17" name="Group 47">
            <a:extLst>
              <a:ext uri="{FF2B5EF4-FFF2-40B4-BE49-F238E27FC236}">
                <a16:creationId xmlns:a16="http://schemas.microsoft.com/office/drawing/2014/main" id="{C16BB354-5EF6-43C4-B99A-3E62C908016B}"/>
              </a:ext>
            </a:extLst>
          </xdr:cNvPr>
          <xdr:cNvGrpSpPr>
            <a:grpSpLocks/>
          </xdr:cNvGrpSpPr>
        </xdr:nvGrpSpPr>
        <xdr:grpSpPr bwMode="auto">
          <a:xfrm>
            <a:off x="5790" y="2780"/>
            <a:ext cx="2880" cy="1216"/>
            <a:chOff x="2880" y="1008"/>
            <a:chExt cx="2880" cy="2880"/>
          </a:xfrm>
        </xdr:grpSpPr>
        <xdr:sp macro="" textlink="">
          <xdr:nvSpPr>
            <xdr:cNvPr id="19" name="Line 48">
              <a:extLst>
                <a:ext uri="{FF2B5EF4-FFF2-40B4-BE49-F238E27FC236}">
                  <a16:creationId xmlns:a16="http://schemas.microsoft.com/office/drawing/2014/main" id="{E2C602B9-3E85-4600-93DC-8AF285474F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0" name="Line 49">
              <a:extLst>
                <a:ext uri="{FF2B5EF4-FFF2-40B4-BE49-F238E27FC236}">
                  <a16:creationId xmlns:a16="http://schemas.microsoft.com/office/drawing/2014/main" id="{FBA99FDB-A068-4DFD-AF93-6CB036B9B2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1" name="Text Box 50">
              <a:extLst>
                <a:ext uri="{FF2B5EF4-FFF2-40B4-BE49-F238E27FC236}">
                  <a16:creationId xmlns:a16="http://schemas.microsoft.com/office/drawing/2014/main" id="{5904CC51-4BB7-4E56-8ACA-8C77399C99E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2" name="Text Box 51">
              <a:extLst>
                <a:ext uri="{FF2B5EF4-FFF2-40B4-BE49-F238E27FC236}">
                  <a16:creationId xmlns:a16="http://schemas.microsoft.com/office/drawing/2014/main" id="{B4CAA9AE-F54F-46CA-9111-3A116A60B5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3" name="Text Box 52">
              <a:extLst>
                <a:ext uri="{FF2B5EF4-FFF2-40B4-BE49-F238E27FC236}">
                  <a16:creationId xmlns:a16="http://schemas.microsoft.com/office/drawing/2014/main" id="{FAAA52AB-D7BA-4F1E-985C-3FFBE381E99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4" name="Text Box 53">
              <a:extLst>
                <a:ext uri="{FF2B5EF4-FFF2-40B4-BE49-F238E27FC236}">
                  <a16:creationId xmlns:a16="http://schemas.microsoft.com/office/drawing/2014/main" id="{286D665D-7E2E-4B8E-9DDE-AFF67DA9DBD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е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8" name="Rectangle 54">
            <a:extLst>
              <a:ext uri="{FF2B5EF4-FFF2-40B4-BE49-F238E27FC236}">
                <a16:creationId xmlns:a16="http://schemas.microsoft.com/office/drawing/2014/main" id="{71437AEC-1102-4A78-87E5-CF6E3260642C}"/>
              </a:ext>
            </a:extLst>
          </xdr:cNvPr>
          <xdr:cNvSpPr>
            <a:spLocks noChangeArrowheads="1"/>
          </xdr:cNvSpPr>
        </xdr:nvSpPr>
        <xdr:spPr bwMode="auto">
          <a:xfrm>
            <a:off x="2592" y="240"/>
            <a:ext cx="3024" cy="3888"/>
          </a:xfrm>
          <a:prstGeom prst="rect">
            <a:avLst/>
          </a:prstGeom>
          <a:noFill/>
          <a:ln w="9525">
            <a:solidFill>
              <a:schemeClr val="tx1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pPr eaLnBrk="1" hangingPunct="1"/>
            <a:endParaRPr lang="ru-RU" altLang="ru-RU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247650</xdr:colOff>
      <xdr:row>1</xdr:row>
      <xdr:rowOff>133350</xdr:rowOff>
    </xdr:from>
    <xdr:to>
      <xdr:col>22</xdr:col>
      <xdr:colOff>247650</xdr:colOff>
      <xdr:row>11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7564A7-94F2-4658-9AF5-0EB12976E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495300</xdr:colOff>
      <xdr:row>0</xdr:row>
      <xdr:rowOff>257175</xdr:rowOff>
    </xdr:from>
    <xdr:to>
      <xdr:col>28</xdr:col>
      <xdr:colOff>495300</xdr:colOff>
      <xdr:row>10</xdr:row>
      <xdr:rowOff>238125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AD11D9-154F-484F-84F0-2CC51DC4B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381000</xdr:colOff>
      <xdr:row>12</xdr:row>
      <xdr:rowOff>38100</xdr:rowOff>
    </xdr:from>
    <xdr:to>
      <xdr:col>22</xdr:col>
      <xdr:colOff>381000</xdr:colOff>
      <xdr:row>22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9084E6E-2EBA-4E94-ABE6-65949578D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485775</xdr:colOff>
      <xdr:row>11</xdr:row>
      <xdr:rowOff>228600</xdr:rowOff>
    </xdr:from>
    <xdr:to>
      <xdr:col>28</xdr:col>
      <xdr:colOff>485775</xdr:colOff>
      <xdr:row>21</xdr:row>
      <xdr:rowOff>228600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F52FC59-85A6-4ABE-8DC4-3299AEA47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2</xdr:row>
      <xdr:rowOff>128587</xdr:rowOff>
    </xdr:from>
    <xdr:to>
      <xdr:col>13</xdr:col>
      <xdr:colOff>523875</xdr:colOff>
      <xdr:row>16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51AEEC-B41E-47E0-867C-A86828BD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19050</xdr:colOff>
      <xdr:row>18</xdr:row>
      <xdr:rowOff>65088</xdr:rowOff>
    </xdr:from>
    <xdr:to>
      <xdr:col>19</xdr:col>
      <xdr:colOff>349250</xdr:colOff>
      <xdr:row>33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03421D4-1AE6-4C59-A037-DC869B63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3656013"/>
          <a:ext cx="3987800" cy="2982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155577</xdr:colOff>
      <xdr:row>2</xdr:row>
      <xdr:rowOff>180975</xdr:rowOff>
    </xdr:from>
    <xdr:to>
      <xdr:col>37</xdr:col>
      <xdr:colOff>245275</xdr:colOff>
      <xdr:row>35</xdr:row>
      <xdr:rowOff>9526</xdr:rowOff>
    </xdr:to>
    <xdr:grpSp>
      <xdr:nvGrpSpPr>
        <xdr:cNvPr id="4" name="Group 5">
          <a:extLst>
            <a:ext uri="{FF2B5EF4-FFF2-40B4-BE49-F238E27FC236}">
              <a16:creationId xmlns:a16="http://schemas.microsoft.com/office/drawing/2014/main" id="{86BAA8E0-326A-4F35-B5F0-D8336A8BB9B3}"/>
            </a:ext>
          </a:extLst>
        </xdr:cNvPr>
        <xdr:cNvGrpSpPr>
          <a:grpSpLocks/>
        </xdr:cNvGrpSpPr>
      </xdr:nvGrpSpPr>
      <xdr:grpSpPr bwMode="auto">
        <a:xfrm>
          <a:off x="12347577" y="676275"/>
          <a:ext cx="10452898" cy="6172201"/>
          <a:chOff x="2592" y="240"/>
          <a:chExt cx="6078" cy="3888"/>
        </a:xfrm>
      </xdr:grpSpPr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748A870C-1184-4E0A-B1D6-A2322E3AB1A6}"/>
              </a:ext>
            </a:extLst>
          </xdr:cNvPr>
          <xdr:cNvSpPr>
            <a:spLocks noChangeShapeType="1"/>
          </xdr:cNvSpPr>
        </xdr:nvSpPr>
        <xdr:spPr bwMode="auto">
          <a:xfrm flipV="1">
            <a:off x="2911" y="470"/>
            <a:ext cx="1082" cy="6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6" name="Group 7">
            <a:extLst>
              <a:ext uri="{FF2B5EF4-FFF2-40B4-BE49-F238E27FC236}">
                <a16:creationId xmlns:a16="http://schemas.microsoft.com/office/drawing/2014/main" id="{1CB7CB1E-FFF1-46F5-AEE4-902F285EEE62}"/>
              </a:ext>
            </a:extLst>
          </xdr:cNvPr>
          <xdr:cNvGrpSpPr>
            <a:grpSpLocks/>
          </xdr:cNvGrpSpPr>
        </xdr:nvGrpSpPr>
        <xdr:grpSpPr bwMode="auto">
          <a:xfrm>
            <a:off x="4167" y="289"/>
            <a:ext cx="2880" cy="1216"/>
            <a:chOff x="2880" y="1008"/>
            <a:chExt cx="2880" cy="2880"/>
          </a:xfrm>
        </xdr:grpSpPr>
        <xdr:sp macro="" textlink="">
          <xdr:nvSpPr>
            <xdr:cNvPr id="48" name="Line 8">
              <a:extLst>
                <a:ext uri="{FF2B5EF4-FFF2-40B4-BE49-F238E27FC236}">
                  <a16:creationId xmlns:a16="http://schemas.microsoft.com/office/drawing/2014/main" id="{C52F7A00-8820-4DD6-B555-902CDAD54D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49" name="Line 9">
              <a:extLst>
                <a:ext uri="{FF2B5EF4-FFF2-40B4-BE49-F238E27FC236}">
                  <a16:creationId xmlns:a16="http://schemas.microsoft.com/office/drawing/2014/main" id="{15CC77A6-0DEA-48E7-AFAD-1E3B09D22D5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50" name="Text Box 10">
              <a:extLst>
                <a:ext uri="{FF2B5EF4-FFF2-40B4-BE49-F238E27FC236}">
                  <a16:creationId xmlns:a16="http://schemas.microsoft.com/office/drawing/2014/main" id="{527C47DE-000E-4141-979A-0637DCF3AC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1" name="Text Box 11">
              <a:extLst>
                <a:ext uri="{FF2B5EF4-FFF2-40B4-BE49-F238E27FC236}">
                  <a16:creationId xmlns:a16="http://schemas.microsoft.com/office/drawing/2014/main" id="{3112F9D1-281F-4483-A08B-AD77CB982C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2" name="Text Box 12">
              <a:extLst>
                <a:ext uri="{FF2B5EF4-FFF2-40B4-BE49-F238E27FC236}">
                  <a16:creationId xmlns:a16="http://schemas.microsoft.com/office/drawing/2014/main" id="{50D0EC0B-B0F0-4CE7-B1F2-D331EE19F4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53" name="Text Box 13">
              <a:extLst>
                <a:ext uri="{FF2B5EF4-FFF2-40B4-BE49-F238E27FC236}">
                  <a16:creationId xmlns:a16="http://schemas.microsoft.com/office/drawing/2014/main" id="{CB208AA0-D72F-4FB5-BA1B-88BD04A7A3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a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grpSp>
        <xdr:nvGrpSpPr>
          <xdr:cNvPr id="7" name="Group 14">
            <a:extLst>
              <a:ext uri="{FF2B5EF4-FFF2-40B4-BE49-F238E27FC236}">
                <a16:creationId xmlns:a16="http://schemas.microsoft.com/office/drawing/2014/main" id="{7868E355-D2A3-4627-AAD8-2B366B82A20E}"/>
              </a:ext>
            </a:extLst>
          </xdr:cNvPr>
          <xdr:cNvGrpSpPr>
            <a:grpSpLocks/>
          </xdr:cNvGrpSpPr>
        </xdr:nvGrpSpPr>
        <xdr:grpSpPr bwMode="auto">
          <a:xfrm>
            <a:off x="5790" y="289"/>
            <a:ext cx="2880" cy="1216"/>
            <a:chOff x="2880" y="1008"/>
            <a:chExt cx="2880" cy="2880"/>
          </a:xfrm>
        </xdr:grpSpPr>
        <xdr:sp macro="" textlink="">
          <xdr:nvSpPr>
            <xdr:cNvPr id="42" name="Line 15">
              <a:extLst>
                <a:ext uri="{FF2B5EF4-FFF2-40B4-BE49-F238E27FC236}">
                  <a16:creationId xmlns:a16="http://schemas.microsoft.com/office/drawing/2014/main" id="{65CC5696-E4DD-4AB3-902D-4F24348C88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43" name="Line 16">
              <a:extLst>
                <a:ext uri="{FF2B5EF4-FFF2-40B4-BE49-F238E27FC236}">
                  <a16:creationId xmlns:a16="http://schemas.microsoft.com/office/drawing/2014/main" id="{84D5886C-3419-470B-B083-670B821036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44" name="Text Box 17">
              <a:extLst>
                <a:ext uri="{FF2B5EF4-FFF2-40B4-BE49-F238E27FC236}">
                  <a16:creationId xmlns:a16="http://schemas.microsoft.com/office/drawing/2014/main" id="{A74AA27C-1BAF-4EE9-86D1-3A5065C15C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5" name="Text Box 18">
              <a:extLst>
                <a:ext uri="{FF2B5EF4-FFF2-40B4-BE49-F238E27FC236}">
                  <a16:creationId xmlns:a16="http://schemas.microsoft.com/office/drawing/2014/main" id="{451A0514-3B4A-4DCA-B338-50CFC62534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6" name="Text Box 19">
              <a:extLst>
                <a:ext uri="{FF2B5EF4-FFF2-40B4-BE49-F238E27FC236}">
                  <a16:creationId xmlns:a16="http://schemas.microsoft.com/office/drawing/2014/main" id="{6D76A3DC-EE2A-44CB-AE94-12F8982BA9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7" name="Text Box 20">
              <a:extLst>
                <a:ext uri="{FF2B5EF4-FFF2-40B4-BE49-F238E27FC236}">
                  <a16:creationId xmlns:a16="http://schemas.microsoft.com/office/drawing/2014/main" id="{3578E539-CDCF-4411-8034-749BF33DA47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б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8" name="Freeform 21">
            <a:extLst>
              <a:ext uri="{FF2B5EF4-FFF2-40B4-BE49-F238E27FC236}">
                <a16:creationId xmlns:a16="http://schemas.microsoft.com/office/drawing/2014/main" id="{9A6E0F0B-F7B6-4881-99A7-14F274452A56}"/>
              </a:ext>
            </a:extLst>
          </xdr:cNvPr>
          <xdr:cNvSpPr>
            <a:spLocks/>
          </xdr:cNvSpPr>
        </xdr:nvSpPr>
        <xdr:spPr bwMode="auto">
          <a:xfrm>
            <a:off x="4399" y="531"/>
            <a:ext cx="1217" cy="608"/>
          </a:xfrm>
          <a:custGeom>
            <a:avLst/>
            <a:gdLst>
              <a:gd name="T0" fmla="*/ 0 w 2592"/>
              <a:gd name="T1" fmla="*/ 608 h 1440"/>
              <a:gd name="T2" fmla="*/ 609 w 2592"/>
              <a:gd name="T3" fmla="*/ 0 h 1440"/>
              <a:gd name="T4" fmla="*/ 1217 w 2592"/>
              <a:gd name="T5" fmla="*/ 608 h 14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592" h="1440">
                <a:moveTo>
                  <a:pt x="0" y="1440"/>
                </a:moveTo>
                <a:cubicBezTo>
                  <a:pt x="432" y="720"/>
                  <a:pt x="864" y="0"/>
                  <a:pt x="1296" y="0"/>
                </a:cubicBezTo>
                <a:cubicBezTo>
                  <a:pt x="1728" y="0"/>
                  <a:pt x="2160" y="720"/>
                  <a:pt x="2592" y="144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9" name="Group 22">
            <a:extLst>
              <a:ext uri="{FF2B5EF4-FFF2-40B4-BE49-F238E27FC236}">
                <a16:creationId xmlns:a16="http://schemas.microsoft.com/office/drawing/2014/main" id="{CB60C22F-9961-4817-8D82-68BD7DB393F1}"/>
              </a:ext>
            </a:extLst>
          </xdr:cNvPr>
          <xdr:cNvGrpSpPr>
            <a:grpSpLocks/>
          </xdr:cNvGrpSpPr>
        </xdr:nvGrpSpPr>
        <xdr:grpSpPr bwMode="auto">
          <a:xfrm>
            <a:off x="4167" y="1504"/>
            <a:ext cx="2880" cy="1216"/>
            <a:chOff x="2880" y="1008"/>
            <a:chExt cx="2880" cy="2880"/>
          </a:xfrm>
        </xdr:grpSpPr>
        <xdr:sp macro="" textlink="">
          <xdr:nvSpPr>
            <xdr:cNvPr id="36" name="Line 23">
              <a:extLst>
                <a:ext uri="{FF2B5EF4-FFF2-40B4-BE49-F238E27FC236}">
                  <a16:creationId xmlns:a16="http://schemas.microsoft.com/office/drawing/2014/main" id="{A75237C2-64A9-4C91-AE59-6D67B6C67E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7" name="Line 24">
              <a:extLst>
                <a:ext uri="{FF2B5EF4-FFF2-40B4-BE49-F238E27FC236}">
                  <a16:creationId xmlns:a16="http://schemas.microsoft.com/office/drawing/2014/main" id="{BB56F1EB-F987-452D-8909-5B0C5C8CA40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8" name="Text Box 25">
              <a:extLst>
                <a:ext uri="{FF2B5EF4-FFF2-40B4-BE49-F238E27FC236}">
                  <a16:creationId xmlns:a16="http://schemas.microsoft.com/office/drawing/2014/main" id="{012C7451-110D-4FAC-BD5A-5DFDB2B2282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9" name="Text Box 26">
              <a:extLst>
                <a:ext uri="{FF2B5EF4-FFF2-40B4-BE49-F238E27FC236}">
                  <a16:creationId xmlns:a16="http://schemas.microsoft.com/office/drawing/2014/main" id="{490EEA58-126F-467F-BB8C-E70BCCF793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0" name="Text Box 27">
              <a:extLst>
                <a:ext uri="{FF2B5EF4-FFF2-40B4-BE49-F238E27FC236}">
                  <a16:creationId xmlns:a16="http://schemas.microsoft.com/office/drawing/2014/main" id="{CF1B6385-90CA-43D8-AA4D-E6B0358B33E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41" name="Text Box 28">
              <a:extLst>
                <a:ext uri="{FF2B5EF4-FFF2-40B4-BE49-F238E27FC236}">
                  <a16:creationId xmlns:a16="http://schemas.microsoft.com/office/drawing/2014/main" id="{E220B3DD-F493-4E39-A2F9-0D40D2BC59F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в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0" name="Freeform 29">
            <a:extLst>
              <a:ext uri="{FF2B5EF4-FFF2-40B4-BE49-F238E27FC236}">
                <a16:creationId xmlns:a16="http://schemas.microsoft.com/office/drawing/2014/main" id="{0FE9DE52-D447-418A-8CCC-02ADDE0C7B24}"/>
              </a:ext>
            </a:extLst>
          </xdr:cNvPr>
          <xdr:cNvSpPr>
            <a:spLocks/>
          </xdr:cNvSpPr>
        </xdr:nvSpPr>
        <xdr:spPr bwMode="auto">
          <a:xfrm>
            <a:off x="2775" y="1625"/>
            <a:ext cx="1285" cy="729"/>
          </a:xfrm>
          <a:custGeom>
            <a:avLst/>
            <a:gdLst>
              <a:gd name="T0" fmla="*/ 0 w 2736"/>
              <a:gd name="T1" fmla="*/ 0 h 1728"/>
              <a:gd name="T2" fmla="*/ 473 w 2736"/>
              <a:gd name="T3" fmla="*/ 608 h 1728"/>
              <a:gd name="T4" fmla="*/ 1285 w 2736"/>
              <a:gd name="T5" fmla="*/ 729 h 172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736" h="1728">
                <a:moveTo>
                  <a:pt x="0" y="0"/>
                </a:moveTo>
                <a:cubicBezTo>
                  <a:pt x="276" y="576"/>
                  <a:pt x="552" y="1152"/>
                  <a:pt x="1008" y="1440"/>
                </a:cubicBezTo>
                <a:cubicBezTo>
                  <a:pt x="1464" y="1728"/>
                  <a:pt x="2100" y="1728"/>
                  <a:pt x="2736" y="172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11" name="Group 30">
            <a:extLst>
              <a:ext uri="{FF2B5EF4-FFF2-40B4-BE49-F238E27FC236}">
                <a16:creationId xmlns:a16="http://schemas.microsoft.com/office/drawing/2014/main" id="{B823A928-7425-4EFA-A561-72354DD632E1}"/>
              </a:ext>
            </a:extLst>
          </xdr:cNvPr>
          <xdr:cNvGrpSpPr>
            <a:grpSpLocks/>
          </xdr:cNvGrpSpPr>
        </xdr:nvGrpSpPr>
        <xdr:grpSpPr bwMode="auto">
          <a:xfrm>
            <a:off x="5790" y="1504"/>
            <a:ext cx="2880" cy="1216"/>
            <a:chOff x="2880" y="1008"/>
            <a:chExt cx="2880" cy="2880"/>
          </a:xfrm>
        </xdr:grpSpPr>
        <xdr:sp macro="" textlink="">
          <xdr:nvSpPr>
            <xdr:cNvPr id="30" name="Line 31">
              <a:extLst>
                <a:ext uri="{FF2B5EF4-FFF2-40B4-BE49-F238E27FC236}">
                  <a16:creationId xmlns:a16="http://schemas.microsoft.com/office/drawing/2014/main" id="{4CCCCB41-55E2-4F69-9F76-C3E32C7B4C8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1" name="Line 32">
              <a:extLst>
                <a:ext uri="{FF2B5EF4-FFF2-40B4-BE49-F238E27FC236}">
                  <a16:creationId xmlns:a16="http://schemas.microsoft.com/office/drawing/2014/main" id="{26F7B3A4-7B15-4387-AFD5-B828606E62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32" name="Text Box 33">
              <a:extLst>
                <a:ext uri="{FF2B5EF4-FFF2-40B4-BE49-F238E27FC236}">
                  <a16:creationId xmlns:a16="http://schemas.microsoft.com/office/drawing/2014/main" id="{8D6EC537-580F-4BD4-A553-458CF89AB02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3" name="Text Box 34">
              <a:extLst>
                <a:ext uri="{FF2B5EF4-FFF2-40B4-BE49-F238E27FC236}">
                  <a16:creationId xmlns:a16="http://schemas.microsoft.com/office/drawing/2014/main" id="{C4A7451B-3EA7-43B8-901E-944927D957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4" name="Text Box 35">
              <a:extLst>
                <a:ext uri="{FF2B5EF4-FFF2-40B4-BE49-F238E27FC236}">
                  <a16:creationId xmlns:a16="http://schemas.microsoft.com/office/drawing/2014/main" id="{A77C734D-6A91-4295-8421-69E06D4998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35" name="Text Box 36">
              <a:extLst>
                <a:ext uri="{FF2B5EF4-FFF2-40B4-BE49-F238E27FC236}">
                  <a16:creationId xmlns:a16="http://schemas.microsoft.com/office/drawing/2014/main" id="{4CC40E96-9407-402A-B09B-9DEA5EA4131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г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2" name="Freeform 37">
            <a:extLst>
              <a:ext uri="{FF2B5EF4-FFF2-40B4-BE49-F238E27FC236}">
                <a16:creationId xmlns:a16="http://schemas.microsoft.com/office/drawing/2014/main" id="{27D694B3-D38B-4422-B7C1-E8C67009663F}"/>
              </a:ext>
            </a:extLst>
          </xdr:cNvPr>
          <xdr:cNvSpPr>
            <a:spLocks/>
          </xdr:cNvSpPr>
        </xdr:nvSpPr>
        <xdr:spPr bwMode="auto">
          <a:xfrm>
            <a:off x="4399" y="1685"/>
            <a:ext cx="1082" cy="679"/>
          </a:xfrm>
          <a:custGeom>
            <a:avLst/>
            <a:gdLst>
              <a:gd name="T0" fmla="*/ 0 w 2304"/>
              <a:gd name="T1" fmla="*/ 679 h 1608"/>
              <a:gd name="T2" fmla="*/ 338 w 2304"/>
              <a:gd name="T3" fmla="*/ 10 h 1608"/>
              <a:gd name="T4" fmla="*/ 812 w 2304"/>
              <a:gd name="T5" fmla="*/ 618 h 1608"/>
              <a:gd name="T6" fmla="*/ 1082 w 2304"/>
              <a:gd name="T7" fmla="*/ 10 h 160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2304" h="1608">
                <a:moveTo>
                  <a:pt x="0" y="1608"/>
                </a:moveTo>
                <a:cubicBezTo>
                  <a:pt x="216" y="828"/>
                  <a:pt x="432" y="48"/>
                  <a:pt x="720" y="24"/>
                </a:cubicBezTo>
                <a:cubicBezTo>
                  <a:pt x="1008" y="0"/>
                  <a:pt x="1464" y="1464"/>
                  <a:pt x="1728" y="1464"/>
                </a:cubicBezTo>
                <a:cubicBezTo>
                  <a:pt x="1992" y="1464"/>
                  <a:pt x="2148" y="744"/>
                  <a:pt x="2304" y="24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3" name="Freeform 38">
            <a:extLst>
              <a:ext uri="{FF2B5EF4-FFF2-40B4-BE49-F238E27FC236}">
                <a16:creationId xmlns:a16="http://schemas.microsoft.com/office/drawing/2014/main" id="{CA88F8F7-4F4F-4810-A494-C0ED551258C7}"/>
              </a:ext>
            </a:extLst>
          </xdr:cNvPr>
          <xdr:cNvSpPr>
            <a:spLocks/>
          </xdr:cNvSpPr>
        </xdr:nvSpPr>
        <xdr:spPr bwMode="auto">
          <a:xfrm>
            <a:off x="2713" y="3080"/>
            <a:ext cx="1014" cy="668"/>
          </a:xfrm>
          <a:custGeom>
            <a:avLst/>
            <a:gdLst>
              <a:gd name="T0" fmla="*/ 0 w 2160"/>
              <a:gd name="T1" fmla="*/ 668 h 1584"/>
              <a:gd name="T2" fmla="*/ 338 w 2160"/>
              <a:gd name="T3" fmla="*/ 182 h 1584"/>
              <a:gd name="T4" fmla="*/ 1014 w 2160"/>
              <a:gd name="T5" fmla="*/ 0 h 15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" h="1584">
                <a:moveTo>
                  <a:pt x="0" y="1584"/>
                </a:moveTo>
                <a:cubicBezTo>
                  <a:pt x="180" y="1140"/>
                  <a:pt x="360" y="696"/>
                  <a:pt x="720" y="432"/>
                </a:cubicBezTo>
                <a:cubicBezTo>
                  <a:pt x="1080" y="168"/>
                  <a:pt x="1620" y="84"/>
                  <a:pt x="216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sp macro="" textlink="">
        <xdr:nvSpPr>
          <xdr:cNvPr id="14" name="Freeform 39">
            <a:extLst>
              <a:ext uri="{FF2B5EF4-FFF2-40B4-BE49-F238E27FC236}">
                <a16:creationId xmlns:a16="http://schemas.microsoft.com/office/drawing/2014/main" id="{AEA73567-8C40-4863-BEDB-E11218BAE682}"/>
              </a:ext>
            </a:extLst>
          </xdr:cNvPr>
          <xdr:cNvSpPr>
            <a:spLocks/>
          </xdr:cNvSpPr>
        </xdr:nvSpPr>
        <xdr:spPr bwMode="auto">
          <a:xfrm rot="10800000">
            <a:off x="4534" y="2840"/>
            <a:ext cx="744" cy="789"/>
          </a:xfrm>
          <a:custGeom>
            <a:avLst/>
            <a:gdLst>
              <a:gd name="T0" fmla="*/ 0 w 1584"/>
              <a:gd name="T1" fmla="*/ 789 h 1872"/>
              <a:gd name="T2" fmla="*/ 271 w 1584"/>
              <a:gd name="T3" fmla="*/ 182 h 1872"/>
              <a:gd name="T4" fmla="*/ 744 w 1584"/>
              <a:gd name="T5" fmla="*/ 0 h 187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584" h="1872">
                <a:moveTo>
                  <a:pt x="0" y="1872"/>
                </a:moveTo>
                <a:cubicBezTo>
                  <a:pt x="156" y="1308"/>
                  <a:pt x="312" y="744"/>
                  <a:pt x="576" y="432"/>
                </a:cubicBezTo>
                <a:cubicBezTo>
                  <a:pt x="840" y="120"/>
                  <a:pt x="1212" y="60"/>
                  <a:pt x="1584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endParaRPr lang="ru-RU"/>
          </a:p>
        </xdr:txBody>
      </xdr:sp>
      <xdr:grpSp>
        <xdr:nvGrpSpPr>
          <xdr:cNvPr id="15" name="Group 40">
            <a:extLst>
              <a:ext uri="{FF2B5EF4-FFF2-40B4-BE49-F238E27FC236}">
                <a16:creationId xmlns:a16="http://schemas.microsoft.com/office/drawing/2014/main" id="{91D7E691-DACD-4DBB-B7AF-A7B134AAF022}"/>
              </a:ext>
            </a:extLst>
          </xdr:cNvPr>
          <xdr:cNvGrpSpPr>
            <a:grpSpLocks/>
          </xdr:cNvGrpSpPr>
        </xdr:nvGrpSpPr>
        <xdr:grpSpPr bwMode="auto">
          <a:xfrm>
            <a:off x="4167" y="2780"/>
            <a:ext cx="2880" cy="1216"/>
            <a:chOff x="2880" y="1008"/>
            <a:chExt cx="2880" cy="2880"/>
          </a:xfrm>
        </xdr:grpSpPr>
        <xdr:sp macro="" textlink="">
          <xdr:nvSpPr>
            <xdr:cNvPr id="24" name="Line 41">
              <a:extLst>
                <a:ext uri="{FF2B5EF4-FFF2-40B4-BE49-F238E27FC236}">
                  <a16:creationId xmlns:a16="http://schemas.microsoft.com/office/drawing/2014/main" id="{51250209-D0E9-49E1-A364-8C076C4309B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5" name="Line 42">
              <a:extLst>
                <a:ext uri="{FF2B5EF4-FFF2-40B4-BE49-F238E27FC236}">
                  <a16:creationId xmlns:a16="http://schemas.microsoft.com/office/drawing/2014/main" id="{EBF848D5-E326-4FA8-A12A-3B0A1FBCFE4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6" name="Text Box 43">
              <a:extLst>
                <a:ext uri="{FF2B5EF4-FFF2-40B4-BE49-F238E27FC236}">
                  <a16:creationId xmlns:a16="http://schemas.microsoft.com/office/drawing/2014/main" id="{22E3AD61-65F6-4792-A3E6-B821475590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7" name="Text Box 44">
              <a:extLst>
                <a:ext uri="{FF2B5EF4-FFF2-40B4-BE49-F238E27FC236}">
                  <a16:creationId xmlns:a16="http://schemas.microsoft.com/office/drawing/2014/main" id="{AF0315B9-F618-4401-811B-D29F3D8313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8" name="Text Box 45">
              <a:extLst>
                <a:ext uri="{FF2B5EF4-FFF2-40B4-BE49-F238E27FC236}">
                  <a16:creationId xmlns:a16="http://schemas.microsoft.com/office/drawing/2014/main" id="{41C36ED5-9809-4A2C-96ED-B7E9F8F7371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9" name="Text Box 46">
              <a:extLst>
                <a:ext uri="{FF2B5EF4-FFF2-40B4-BE49-F238E27FC236}">
                  <a16:creationId xmlns:a16="http://schemas.microsoft.com/office/drawing/2014/main" id="{FF68D3E3-7B0C-4186-B52F-ABF33DA84D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д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grpSp>
        <xdr:nvGrpSpPr>
          <xdr:cNvPr id="16" name="Group 47">
            <a:extLst>
              <a:ext uri="{FF2B5EF4-FFF2-40B4-BE49-F238E27FC236}">
                <a16:creationId xmlns:a16="http://schemas.microsoft.com/office/drawing/2014/main" id="{C16BB354-5EF6-43C4-B99A-3E62C908016B}"/>
              </a:ext>
            </a:extLst>
          </xdr:cNvPr>
          <xdr:cNvGrpSpPr>
            <a:grpSpLocks/>
          </xdr:cNvGrpSpPr>
        </xdr:nvGrpSpPr>
        <xdr:grpSpPr bwMode="auto">
          <a:xfrm>
            <a:off x="5790" y="2780"/>
            <a:ext cx="2880" cy="1216"/>
            <a:chOff x="2880" y="1008"/>
            <a:chExt cx="2880" cy="2880"/>
          </a:xfrm>
        </xdr:grpSpPr>
        <xdr:sp macro="" textlink="">
          <xdr:nvSpPr>
            <xdr:cNvPr id="18" name="Line 48">
              <a:extLst>
                <a:ext uri="{FF2B5EF4-FFF2-40B4-BE49-F238E27FC236}">
                  <a16:creationId xmlns:a16="http://schemas.microsoft.com/office/drawing/2014/main" id="{E2C602B9-3E85-4600-93DC-8AF285474FC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1296"/>
              <a:ext cx="0" cy="20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19" name="Line 49">
              <a:extLst>
                <a:ext uri="{FF2B5EF4-FFF2-40B4-BE49-F238E27FC236}">
                  <a16:creationId xmlns:a16="http://schemas.microsoft.com/office/drawing/2014/main" id="{FBA99FDB-A068-4DFD-AF93-6CB036B9B2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024" y="3312"/>
              <a:ext cx="259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endParaRPr lang="ru-RU"/>
            </a:p>
          </xdr:txBody>
        </xdr:sp>
        <xdr:sp macro="" textlink="">
          <xdr:nvSpPr>
            <xdr:cNvPr id="20" name="Text Box 50">
              <a:extLst>
                <a:ext uri="{FF2B5EF4-FFF2-40B4-BE49-F238E27FC236}">
                  <a16:creationId xmlns:a16="http://schemas.microsoft.com/office/drawing/2014/main" id="{5904CC51-4BB7-4E56-8ACA-8C77399C99E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80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0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1" name="Text Box 51">
              <a:extLst>
                <a:ext uri="{FF2B5EF4-FFF2-40B4-BE49-F238E27FC236}">
                  <a16:creationId xmlns:a16="http://schemas.microsoft.com/office/drawing/2014/main" id="{B4CAA9AE-F54F-46CA-9111-3A116A60B5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28" y="3312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ru-RU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х</a:t>
              </a:r>
              <a:endParaRPr lang="ru-RU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2" name="Text Box 52">
              <a:extLst>
                <a:ext uri="{FF2B5EF4-FFF2-40B4-BE49-F238E27FC236}">
                  <a16:creationId xmlns:a16="http://schemas.microsoft.com/office/drawing/2014/main" id="{FAAA52AB-D7BA-4F1E-985C-3FFBE381E99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24" y="1008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y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  <xdr:sp macro="" textlink="">
          <xdr:nvSpPr>
            <xdr:cNvPr id="23" name="Text Box 53">
              <a:extLst>
                <a:ext uri="{FF2B5EF4-FFF2-40B4-BE49-F238E27FC236}">
                  <a16:creationId xmlns:a16="http://schemas.microsoft.com/office/drawing/2014/main" id="{286D665D-7E2E-4B8E-9DDE-AFF67DA9DBD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32" y="3456"/>
              <a:ext cx="432" cy="4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ru-RU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3600" kern="1200">
                  <a:solidFill>
                    <a:schemeClr val="tx1"/>
                  </a:solidFill>
                  <a:latin typeface="Verdana" panose="020B0604030504040204" pitchFamily="34" charset="0"/>
                  <a:ea typeface="+mn-ea"/>
                  <a:cs typeface="+mn-cs"/>
                </a:defRPr>
              </a:lvl9pPr>
            </a:lstStyle>
            <a:p>
              <a:pPr eaLnBrk="1" hangingPunct="1"/>
              <a:r>
                <a:rPr lang="en-US" altLang="ru-RU" sz="2000">
                  <a:latin typeface="Arial" panose="020B0604020202020204" pitchFamily="34" charset="0"/>
                  <a:cs typeface="Times New Roman" panose="02020603050405020304" pitchFamily="18" charset="0"/>
                </a:rPr>
                <a:t>е</a:t>
              </a:r>
              <a:endParaRPr lang="en-US" altLang="ru-RU" sz="2000">
                <a:latin typeface="Arial" panose="020B0604020202020204" pitchFamily="34" charset="0"/>
              </a:endParaRPr>
            </a:p>
          </xdr:txBody>
        </xdr:sp>
      </xdr:grpSp>
      <xdr:sp macro="" textlink="">
        <xdr:nvSpPr>
          <xdr:cNvPr id="17" name="Rectangle 54">
            <a:extLst>
              <a:ext uri="{FF2B5EF4-FFF2-40B4-BE49-F238E27FC236}">
                <a16:creationId xmlns:a16="http://schemas.microsoft.com/office/drawing/2014/main" id="{71437AEC-1102-4A78-87E5-CF6E3260642C}"/>
              </a:ext>
            </a:extLst>
          </xdr:cNvPr>
          <xdr:cNvSpPr>
            <a:spLocks noChangeArrowheads="1"/>
          </xdr:cNvSpPr>
        </xdr:nvSpPr>
        <xdr:spPr bwMode="auto">
          <a:xfrm>
            <a:off x="2592" y="240"/>
            <a:ext cx="3024" cy="3888"/>
          </a:xfrm>
          <a:prstGeom prst="rect">
            <a:avLst/>
          </a:prstGeom>
          <a:noFill/>
          <a:ln w="9525">
            <a:solidFill>
              <a:schemeClr val="tx1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ru-RU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600" kern="1200">
                <a:solidFill>
                  <a:schemeClr val="tx1"/>
                </a:solidFill>
                <a:latin typeface="Verdana" panose="020B0604030504040204" pitchFamily="34" charset="0"/>
                <a:ea typeface="+mn-ea"/>
                <a:cs typeface="+mn-cs"/>
              </a:defRPr>
            </a:lvl9pPr>
          </a:lstStyle>
          <a:p>
            <a:pPr eaLnBrk="1" hangingPunct="1"/>
            <a:endParaRPr lang="ru-RU" altLang="ru-RU"/>
          </a:p>
        </xdr:txBody>
      </xdr:sp>
    </xdr:grpSp>
    <xdr:clientData/>
  </xdr:twoCellAnchor>
  <xdr:twoCellAnchor>
    <xdr:from>
      <xdr:col>11</xdr:col>
      <xdr:colOff>419100</xdr:colOff>
      <xdr:row>35</xdr:row>
      <xdr:rowOff>38100</xdr:rowOff>
    </xdr:from>
    <xdr:to>
      <xdr:col>17</xdr:col>
      <xdr:colOff>419100</xdr:colOff>
      <xdr:row>45</xdr:row>
      <xdr:rowOff>57150</xdr:rowOff>
    </xdr:to>
    <xdr:graphicFrame macro="">
      <xdr:nvGraphicFramePr>
        <xdr:cNvPr id="54" name="Диаграмма 53">
          <a:extLst>
            <a:ext uri="{FF2B5EF4-FFF2-40B4-BE49-F238E27FC236}">
              <a16:creationId xmlns:a16="http://schemas.microsoft.com/office/drawing/2014/main" id="{5D536BFE-8453-4184-BE20-9648E6724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</xdr:colOff>
      <xdr:row>35</xdr:row>
      <xdr:rowOff>9525</xdr:rowOff>
    </xdr:from>
    <xdr:to>
      <xdr:col>24</xdr:col>
      <xdr:colOff>19050</xdr:colOff>
      <xdr:row>45</xdr:row>
      <xdr:rowOff>19050</xdr:rowOff>
    </xdr:to>
    <xdr:graphicFrame macro="">
      <xdr:nvGraphicFramePr>
        <xdr:cNvPr id="55" name="Диаграмма 54">
          <a:extLst>
            <a:ext uri="{FF2B5EF4-FFF2-40B4-BE49-F238E27FC236}">
              <a16:creationId xmlns:a16="http://schemas.microsoft.com/office/drawing/2014/main" id="{AA1299A7-FF2C-4893-8909-AC0807E8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476250</xdr:colOff>
      <xdr:row>46</xdr:row>
      <xdr:rowOff>19050</xdr:rowOff>
    </xdr:from>
    <xdr:to>
      <xdr:col>17</xdr:col>
      <xdr:colOff>476250</xdr:colOff>
      <xdr:row>56</xdr:row>
      <xdr:rowOff>9525</xdr:rowOff>
    </xdr:to>
    <xdr:graphicFrame macro="">
      <xdr:nvGraphicFramePr>
        <xdr:cNvPr id="56" name="Диаграмма 55">
          <a:extLst>
            <a:ext uri="{FF2B5EF4-FFF2-40B4-BE49-F238E27FC236}">
              <a16:creationId xmlns:a16="http://schemas.microsoft.com/office/drawing/2014/main" id="{BD4BC1A3-1C10-4C22-BAF0-2D9B4967B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523875</xdr:colOff>
      <xdr:row>79</xdr:row>
      <xdr:rowOff>66675</xdr:rowOff>
    </xdr:from>
    <xdr:to>
      <xdr:col>17</xdr:col>
      <xdr:colOff>523875</xdr:colOff>
      <xdr:row>89</xdr:row>
      <xdr:rowOff>104775</xdr:rowOff>
    </xdr:to>
    <xdr:graphicFrame macro="">
      <xdr:nvGraphicFramePr>
        <xdr:cNvPr id="57" name="Диаграмма 56">
          <a:extLst>
            <a:ext uri="{FF2B5EF4-FFF2-40B4-BE49-F238E27FC236}">
              <a16:creationId xmlns:a16="http://schemas.microsoft.com/office/drawing/2014/main" id="{08F4559A-8FFE-4B66-A804-A3C6353E1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</xdr:colOff>
      <xdr:row>46</xdr:row>
      <xdr:rowOff>19050</xdr:rowOff>
    </xdr:from>
    <xdr:to>
      <xdr:col>24</xdr:col>
      <xdr:colOff>38100</xdr:colOff>
      <xdr:row>56</xdr:row>
      <xdr:rowOff>9525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9AFF789A-2B2C-48A6-B7A9-87D262A7B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28575</xdr:colOff>
      <xdr:row>57</xdr:row>
      <xdr:rowOff>28575</xdr:rowOff>
    </xdr:from>
    <xdr:to>
      <xdr:col>24</xdr:col>
      <xdr:colOff>28575</xdr:colOff>
      <xdr:row>67</xdr:row>
      <xdr:rowOff>38100</xdr:rowOff>
    </xdr:to>
    <xdr:graphicFrame macro="">
      <xdr:nvGraphicFramePr>
        <xdr:cNvPr id="59" name="Диаграмма 58">
          <a:extLst>
            <a:ext uri="{FF2B5EF4-FFF2-40B4-BE49-F238E27FC236}">
              <a16:creationId xmlns:a16="http://schemas.microsoft.com/office/drawing/2014/main" id="{F1571FE7-29A8-472C-945B-29DACA54A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485775</xdr:colOff>
      <xdr:row>57</xdr:row>
      <xdr:rowOff>9525</xdr:rowOff>
    </xdr:from>
    <xdr:to>
      <xdr:col>17</xdr:col>
      <xdr:colOff>485775</xdr:colOff>
      <xdr:row>67</xdr:row>
      <xdr:rowOff>19050</xdr:rowOff>
    </xdr:to>
    <xdr:graphicFrame macro="">
      <xdr:nvGraphicFramePr>
        <xdr:cNvPr id="60" name="Диаграмма 59">
          <a:extLst>
            <a:ext uri="{FF2B5EF4-FFF2-40B4-BE49-F238E27FC236}">
              <a16:creationId xmlns:a16="http://schemas.microsoft.com/office/drawing/2014/main" id="{7A385B65-692C-4E89-8DA1-1A3BF784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152400</xdr:colOff>
      <xdr:row>79</xdr:row>
      <xdr:rowOff>9525</xdr:rowOff>
    </xdr:from>
    <xdr:to>
      <xdr:col>24</xdr:col>
      <xdr:colOff>152400</xdr:colOff>
      <xdr:row>89</xdr:row>
      <xdr:rowOff>19050</xdr:rowOff>
    </xdr:to>
    <xdr:graphicFrame macro="">
      <xdr:nvGraphicFramePr>
        <xdr:cNvPr id="61" name="Диаграмма 60">
          <a:extLst>
            <a:ext uri="{FF2B5EF4-FFF2-40B4-BE49-F238E27FC236}">
              <a16:creationId xmlns:a16="http://schemas.microsoft.com/office/drawing/2014/main" id="{6055AED4-3F49-4E63-8344-59BF8AA35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190500</xdr:colOff>
      <xdr:row>68</xdr:row>
      <xdr:rowOff>0</xdr:rowOff>
    </xdr:from>
    <xdr:to>
      <xdr:col>24</xdr:col>
      <xdr:colOff>190500</xdr:colOff>
      <xdr:row>77</xdr:row>
      <xdr:rowOff>171450</xdr:rowOff>
    </xdr:to>
    <xdr:graphicFrame macro="">
      <xdr:nvGraphicFramePr>
        <xdr:cNvPr id="62" name="Диаграмма 61">
          <a:extLst>
            <a:ext uri="{FF2B5EF4-FFF2-40B4-BE49-F238E27FC236}">
              <a16:creationId xmlns:a16="http://schemas.microsoft.com/office/drawing/2014/main" id="{EF44D352-96C3-43F7-AB32-D553EB368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533400</xdr:colOff>
      <xdr:row>68</xdr:row>
      <xdr:rowOff>28575</xdr:rowOff>
    </xdr:from>
    <xdr:to>
      <xdr:col>17</xdr:col>
      <xdr:colOff>533400</xdr:colOff>
      <xdr:row>78</xdr:row>
      <xdr:rowOff>19050</xdr:rowOff>
    </xdr:to>
    <xdr:graphicFrame macro="">
      <xdr:nvGraphicFramePr>
        <xdr:cNvPr id="63" name="Диаграмма 62">
          <a:extLst>
            <a:ext uri="{FF2B5EF4-FFF2-40B4-BE49-F238E27FC236}">
              <a16:creationId xmlns:a16="http://schemas.microsoft.com/office/drawing/2014/main" id="{9AF783F2-1C53-4189-BEDA-1B5263FBC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workbookViewId="0">
      <selection activeCell="G32" sqref="G32"/>
    </sheetView>
  </sheetViews>
  <sheetFormatPr defaultRowHeight="15" x14ac:dyDescent="0.25"/>
  <sheetData>
    <row r="1" spans="1:14" ht="15.75" thickBot="1" x14ac:dyDescent="0.3">
      <c r="A1" s="3" t="s">
        <v>0</v>
      </c>
      <c r="B1" s="13" t="s">
        <v>1</v>
      </c>
      <c r="C1" s="13" t="s">
        <v>2</v>
      </c>
      <c r="D1" s="13" t="s">
        <v>3</v>
      </c>
      <c r="E1" s="14" t="s">
        <v>6</v>
      </c>
      <c r="F1" t="s">
        <v>4</v>
      </c>
      <c r="G1">
        <f>(5*E7-B7*C7)/(5*D7-B7^2)</f>
        <v>-0.3000000000000006</v>
      </c>
    </row>
    <row r="2" spans="1:14" x14ac:dyDescent="0.25">
      <c r="A2" s="11">
        <v>1</v>
      </c>
      <c r="B2" s="3">
        <v>2</v>
      </c>
      <c r="C2" s="4">
        <v>2.6</v>
      </c>
      <c r="D2" s="4">
        <f>B2^2</f>
        <v>4</v>
      </c>
      <c r="E2" s="5">
        <f>B2*C2</f>
        <v>5.2</v>
      </c>
      <c r="F2" t="s">
        <v>5</v>
      </c>
      <c r="G2">
        <f>(D7*C7-B7*E7)/(5*D7-B7^2)</f>
        <v>3.1000000000000028</v>
      </c>
      <c r="I2" t="s">
        <v>7</v>
      </c>
    </row>
    <row r="3" spans="1:14" ht="15.75" thickBot="1" x14ac:dyDescent="0.3">
      <c r="A3" s="11">
        <v>2</v>
      </c>
      <c r="B3" s="6">
        <v>3</v>
      </c>
      <c r="C3" s="1">
        <v>2.4</v>
      </c>
      <c r="D3" s="1">
        <f>B3^2</f>
        <v>9</v>
      </c>
      <c r="E3" s="7">
        <f>B3*C3</f>
        <v>7.1999999999999993</v>
      </c>
    </row>
    <row r="4" spans="1:14" x14ac:dyDescent="0.25">
      <c r="A4" s="11">
        <v>3</v>
      </c>
      <c r="B4" s="6">
        <v>4</v>
      </c>
      <c r="C4" s="1">
        <v>1.8</v>
      </c>
      <c r="D4" s="1">
        <f>B4^2</f>
        <v>16</v>
      </c>
      <c r="E4" s="7">
        <f>B4*C4</f>
        <v>7.2</v>
      </c>
      <c r="I4" s="18" t="s">
        <v>8</v>
      </c>
      <c r="J4" s="18"/>
    </row>
    <row r="5" spans="1:14" x14ac:dyDescent="0.25">
      <c r="A5" s="11">
        <v>4</v>
      </c>
      <c r="B5" s="6">
        <v>5</v>
      </c>
      <c r="C5" s="1">
        <v>1.1000000000000001</v>
      </c>
      <c r="D5" s="1">
        <f>B5^2</f>
        <v>25</v>
      </c>
      <c r="E5" s="7">
        <f>B5*C5</f>
        <v>5.5</v>
      </c>
      <c r="I5" s="15" t="s">
        <v>9</v>
      </c>
      <c r="J5" s="15">
        <v>0.87695673655141615</v>
      </c>
    </row>
    <row r="6" spans="1:14" ht="15.75" thickBot="1" x14ac:dyDescent="0.3">
      <c r="A6" s="12">
        <v>5</v>
      </c>
      <c r="B6" s="8">
        <v>7</v>
      </c>
      <c r="C6" s="9">
        <v>1.3</v>
      </c>
      <c r="D6" s="9">
        <f>B6^2</f>
        <v>49</v>
      </c>
      <c r="E6" s="10">
        <f>B6*C6</f>
        <v>9.1</v>
      </c>
      <c r="I6" s="15" t="s">
        <v>10</v>
      </c>
      <c r="J6" s="15">
        <v>0.76905311778290997</v>
      </c>
    </row>
    <row r="7" spans="1:14" x14ac:dyDescent="0.25">
      <c r="A7" s="2"/>
      <c r="B7" s="2">
        <f>SUM(B2:B6)</f>
        <v>21</v>
      </c>
      <c r="C7" s="2">
        <f>SUM(C2:C6)</f>
        <v>9.2000000000000011</v>
      </c>
      <c r="D7" s="2">
        <f>SUM(D2:D6)</f>
        <v>103</v>
      </c>
      <c r="E7" s="2">
        <f>SUM(E2:E6)</f>
        <v>34.199999999999996</v>
      </c>
      <c r="I7" s="15" t="s">
        <v>11</v>
      </c>
      <c r="J7" s="15">
        <v>0.69207082371054662</v>
      </c>
    </row>
    <row r="8" spans="1:14" x14ac:dyDescent="0.25">
      <c r="I8" s="15" t="s">
        <v>12</v>
      </c>
      <c r="J8" s="15">
        <v>0.36514837167011072</v>
      </c>
    </row>
    <row r="9" spans="1:14" ht="15.75" thickBot="1" x14ac:dyDescent="0.3">
      <c r="I9" s="16" t="s">
        <v>13</v>
      </c>
      <c r="J9" s="16">
        <v>5</v>
      </c>
    </row>
    <row r="11" spans="1:14" ht="15.75" thickBot="1" x14ac:dyDescent="0.3">
      <c r="I11" t="s">
        <v>14</v>
      </c>
    </row>
    <row r="12" spans="1:14" x14ac:dyDescent="0.25">
      <c r="I12" s="17"/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</row>
    <row r="13" spans="1:14" x14ac:dyDescent="0.25">
      <c r="I13" s="15" t="s">
        <v>15</v>
      </c>
      <c r="J13" s="15">
        <v>1</v>
      </c>
      <c r="K13" s="15">
        <v>1.3319999999999999</v>
      </c>
      <c r="L13" s="15">
        <v>1.3319999999999999</v>
      </c>
      <c r="M13" s="15">
        <v>9.9899999999999984</v>
      </c>
      <c r="N13" s="15">
        <v>5.084382724734348E-2</v>
      </c>
    </row>
    <row r="14" spans="1:14" x14ac:dyDescent="0.25">
      <c r="I14" s="15" t="s">
        <v>16</v>
      </c>
      <c r="J14" s="15">
        <v>3</v>
      </c>
      <c r="K14" s="15">
        <v>0.4</v>
      </c>
      <c r="L14" s="15">
        <v>0.13333333333333333</v>
      </c>
      <c r="M14" s="15"/>
      <c r="N14" s="15"/>
    </row>
    <row r="15" spans="1:14" ht="15.75" thickBot="1" x14ac:dyDescent="0.3">
      <c r="I15" s="16" t="s">
        <v>17</v>
      </c>
      <c r="J15" s="16">
        <v>4</v>
      </c>
      <c r="K15" s="16">
        <v>1.7319999999999998</v>
      </c>
      <c r="L15" s="16"/>
      <c r="M15" s="16"/>
      <c r="N15" s="16"/>
    </row>
    <row r="16" spans="1:14" ht="15.75" thickBot="1" x14ac:dyDescent="0.3"/>
    <row r="17" spans="9:17" x14ac:dyDescent="0.25">
      <c r="I17" s="17"/>
      <c r="J17" s="17" t="s">
        <v>24</v>
      </c>
      <c r="K17" s="17" t="s">
        <v>12</v>
      </c>
      <c r="L17" s="17" t="s">
        <v>25</v>
      </c>
      <c r="M17" s="17" t="s">
        <v>26</v>
      </c>
      <c r="N17" s="17" t="s">
        <v>27</v>
      </c>
      <c r="O17" s="17" t="s">
        <v>28</v>
      </c>
      <c r="P17" s="17" t="s">
        <v>29</v>
      </c>
      <c r="Q17" s="17" t="s">
        <v>30</v>
      </c>
    </row>
    <row r="18" spans="9:17" x14ac:dyDescent="0.25">
      <c r="I18" s="15" t="s">
        <v>18</v>
      </c>
      <c r="J18" s="15">
        <v>3.1000000000000005</v>
      </c>
      <c r="K18" s="15">
        <v>0.43079645493618629</v>
      </c>
      <c r="L18" s="15">
        <v>7.1959737933758117</v>
      </c>
      <c r="M18" s="15">
        <v>5.5310029009304831E-3</v>
      </c>
      <c r="N18" s="15">
        <v>1.7290134136590145</v>
      </c>
      <c r="O18" s="15">
        <v>4.4709865863409863</v>
      </c>
      <c r="P18" s="15">
        <v>1.7290134136590145</v>
      </c>
      <c r="Q18" s="15">
        <v>4.4709865863409863</v>
      </c>
    </row>
    <row r="19" spans="9:17" ht="15.75" thickBot="1" x14ac:dyDescent="0.3">
      <c r="I19" s="16" t="s">
        <v>31</v>
      </c>
      <c r="J19" s="16">
        <v>-0.3000000000000001</v>
      </c>
      <c r="K19" s="16">
        <v>9.4915799575249898E-2</v>
      </c>
      <c r="L19" s="16">
        <v>-3.1606961258558228</v>
      </c>
      <c r="M19" s="16">
        <v>5.0843827247343425E-2</v>
      </c>
      <c r="N19" s="16">
        <v>-0.60206443567130319</v>
      </c>
      <c r="O19" s="16">
        <v>2.0644356713029888E-3</v>
      </c>
      <c r="P19" s="16">
        <v>-0.60206443567130319</v>
      </c>
      <c r="Q19" s="16">
        <v>2.0644356713029888E-3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2121-116C-4FB8-9DB0-C7409D111A3B}">
  <dimension ref="A1:O49"/>
  <sheetViews>
    <sheetView tabSelected="1" workbookViewId="0">
      <selection activeCell="P13" sqref="P13"/>
    </sheetView>
  </sheetViews>
  <sheetFormatPr defaultRowHeight="15" x14ac:dyDescent="0.25"/>
  <sheetData>
    <row r="1" spans="1:12" ht="21" thickBot="1" x14ac:dyDescent="0.3">
      <c r="A1" s="19" t="s">
        <v>32</v>
      </c>
      <c r="B1" s="20" t="s">
        <v>33</v>
      </c>
      <c r="C1" s="20" t="s">
        <v>34</v>
      </c>
      <c r="D1" s="20" t="s">
        <v>35</v>
      </c>
      <c r="E1" s="20" t="s">
        <v>2</v>
      </c>
    </row>
    <row r="2" spans="1:12" ht="19.5" thickBot="1" x14ac:dyDescent="0.3">
      <c r="A2" s="21">
        <v>3.2000000000000001E-2</v>
      </c>
      <c r="B2" s="22">
        <v>8.9999999999999993E-3</v>
      </c>
      <c r="C2" s="22">
        <v>11.27</v>
      </c>
      <c r="D2" s="22">
        <v>9</v>
      </c>
      <c r="E2" s="22">
        <v>4.1000000000000002E-2</v>
      </c>
      <c r="G2" t="s">
        <v>7</v>
      </c>
    </row>
    <row r="3" spans="1:12" ht="19.5" thickBot="1" x14ac:dyDescent="0.3">
      <c r="A3" s="21">
        <v>2.9000000000000001E-2</v>
      </c>
      <c r="B3" s="22">
        <v>8.0000000000000002E-3</v>
      </c>
      <c r="C3" s="22">
        <v>11.15</v>
      </c>
      <c r="D3" s="22">
        <v>7</v>
      </c>
      <c r="E3" s="22">
        <v>3.7999999999999999E-2</v>
      </c>
    </row>
    <row r="4" spans="1:12" ht="19.5" thickBot="1" x14ac:dyDescent="0.3">
      <c r="A4" s="21">
        <v>2.5000000000000001E-2</v>
      </c>
      <c r="B4" s="22">
        <v>7.0000000000000001E-3</v>
      </c>
      <c r="C4" s="22">
        <v>7.7850000000000001</v>
      </c>
      <c r="D4" s="22">
        <v>8</v>
      </c>
      <c r="E4" s="22">
        <v>3.3000000000000002E-2</v>
      </c>
      <c r="G4" s="18" t="s">
        <v>8</v>
      </c>
      <c r="H4" s="18"/>
    </row>
    <row r="5" spans="1:12" ht="19.5" thickBot="1" x14ac:dyDescent="0.3">
      <c r="A5" s="21">
        <v>3.1E-2</v>
      </c>
      <c r="B5" s="22">
        <v>1.0999999999999999E-2</v>
      </c>
      <c r="C5" s="22">
        <v>10.35</v>
      </c>
      <c r="D5" s="22">
        <v>10</v>
      </c>
      <c r="E5" s="22">
        <v>4.2000000000000003E-2</v>
      </c>
      <c r="G5" s="15" t="s">
        <v>9</v>
      </c>
      <c r="H5" s="15">
        <v>0.99610533199484397</v>
      </c>
    </row>
    <row r="6" spans="1:12" ht="19.5" thickBot="1" x14ac:dyDescent="0.3">
      <c r="A6" s="21">
        <v>7.0000000000000007E-2</v>
      </c>
      <c r="B6" s="22">
        <v>3.5000000000000003E-2</v>
      </c>
      <c r="C6" s="22">
        <v>25</v>
      </c>
      <c r="D6" s="22">
        <v>19</v>
      </c>
      <c r="E6" s="22">
        <v>0.106</v>
      </c>
      <c r="G6" s="15" t="s">
        <v>10</v>
      </c>
      <c r="H6" s="15">
        <v>0.99222583242855833</v>
      </c>
    </row>
    <row r="7" spans="1:12" ht="19.5" thickBot="1" x14ac:dyDescent="0.3">
      <c r="A7" s="21">
        <v>7.0000000000000007E-2</v>
      </c>
      <c r="B7" s="22">
        <v>3.5000000000000003E-2</v>
      </c>
      <c r="C7" s="22">
        <v>25</v>
      </c>
      <c r="D7" s="22">
        <v>21</v>
      </c>
      <c r="E7" s="22">
        <v>0.105</v>
      </c>
      <c r="G7" s="15" t="s">
        <v>11</v>
      </c>
      <c r="H7" s="15">
        <v>0.99028229053569783</v>
      </c>
    </row>
    <row r="8" spans="1:12" ht="19.5" thickBot="1" x14ac:dyDescent="0.3">
      <c r="A8" s="21">
        <v>6.4000000000000001E-2</v>
      </c>
      <c r="B8" s="22">
        <v>2.9000000000000001E-2</v>
      </c>
      <c r="C8" s="22">
        <v>26.164999999999999</v>
      </c>
      <c r="D8" s="22">
        <v>15</v>
      </c>
      <c r="E8" s="22">
        <v>9.5000000000000001E-2</v>
      </c>
      <c r="G8" s="15" t="s">
        <v>12</v>
      </c>
      <c r="H8" s="15">
        <v>4.7438540516053819E-2</v>
      </c>
    </row>
    <row r="9" spans="1:12" ht="19.5" thickBot="1" x14ac:dyDescent="0.3">
      <c r="A9" s="21">
        <v>4.5999999999999999E-2</v>
      </c>
      <c r="B9" s="22">
        <v>2.4E-2</v>
      </c>
      <c r="C9" s="22">
        <v>16.335000000000001</v>
      </c>
      <c r="D9" s="22">
        <v>14</v>
      </c>
      <c r="E9" s="22">
        <v>7.0000000000000007E-2</v>
      </c>
      <c r="G9" s="16" t="s">
        <v>13</v>
      </c>
      <c r="H9" s="16">
        <v>21</v>
      </c>
    </row>
    <row r="10" spans="1:12" ht="19.5" thickBot="1" x14ac:dyDescent="0.3">
      <c r="A10" s="21">
        <v>7.9000000000000001E-2</v>
      </c>
      <c r="B10" s="22">
        <v>0.03</v>
      </c>
      <c r="C10" s="22">
        <v>25.95</v>
      </c>
      <c r="D10" s="22">
        <v>18</v>
      </c>
      <c r="E10" s="22">
        <v>0.108</v>
      </c>
    </row>
    <row r="11" spans="1:12" ht="19.5" thickBot="1" x14ac:dyDescent="0.3">
      <c r="A11" s="21">
        <v>0.16700000000000001</v>
      </c>
      <c r="B11" s="22">
        <v>0.13400000000000001</v>
      </c>
      <c r="C11" s="22">
        <v>46.86</v>
      </c>
      <c r="D11" s="22">
        <v>33</v>
      </c>
      <c r="E11" s="22">
        <v>0.30099999999999999</v>
      </c>
      <c r="G11" t="s">
        <v>14</v>
      </c>
    </row>
    <row r="12" spans="1:12" ht="19.5" thickBot="1" x14ac:dyDescent="0.3">
      <c r="A12" s="21">
        <v>0.16700000000000001</v>
      </c>
      <c r="B12" s="22">
        <v>0.13400000000000001</v>
      </c>
      <c r="C12" s="22">
        <v>46.86</v>
      </c>
      <c r="D12" s="22">
        <v>37</v>
      </c>
      <c r="E12" s="22">
        <v>0.30099999999999999</v>
      </c>
      <c r="G12" s="17"/>
      <c r="H12" s="17" t="s">
        <v>19</v>
      </c>
      <c r="I12" s="17" t="s">
        <v>20</v>
      </c>
      <c r="J12" s="17" t="s">
        <v>21</v>
      </c>
      <c r="K12" s="17" t="s">
        <v>22</v>
      </c>
      <c r="L12" s="17" t="s">
        <v>23</v>
      </c>
    </row>
    <row r="13" spans="1:12" ht="19.5" thickBot="1" x14ac:dyDescent="0.3">
      <c r="A13" s="21">
        <v>0.127</v>
      </c>
      <c r="B13" s="22">
        <v>0.10199999999999999</v>
      </c>
      <c r="C13" s="22">
        <v>39.145000000000003</v>
      </c>
      <c r="D13" s="22">
        <v>34</v>
      </c>
      <c r="E13" s="22">
        <v>0.22900000000000001</v>
      </c>
      <c r="G13" s="15" t="s">
        <v>15</v>
      </c>
      <c r="H13" s="15">
        <v>4</v>
      </c>
      <c r="I13" s="15">
        <v>4.5955685960745472</v>
      </c>
      <c r="J13" s="15">
        <v>1.1488921490186368</v>
      </c>
      <c r="K13" s="15">
        <v>510.52454082594465</v>
      </c>
      <c r="L13" s="15">
        <v>1.1925102934422698E-16</v>
      </c>
    </row>
    <row r="14" spans="1:12" ht="19.5" thickBot="1" x14ac:dyDescent="0.3">
      <c r="A14" s="21">
        <v>0.127</v>
      </c>
      <c r="B14" s="22">
        <v>0.10199999999999999</v>
      </c>
      <c r="C14" s="22">
        <v>39.145000000000003</v>
      </c>
      <c r="D14" s="22">
        <v>30</v>
      </c>
      <c r="E14" s="22">
        <v>0.22900000000000001</v>
      </c>
      <c r="G14" s="15" t="s">
        <v>16</v>
      </c>
      <c r="H14" s="15">
        <v>16</v>
      </c>
      <c r="I14" s="15">
        <v>3.6006642020692474E-2</v>
      </c>
      <c r="J14" s="15">
        <v>2.2504151262932796E-3</v>
      </c>
      <c r="K14" s="15"/>
      <c r="L14" s="15"/>
    </row>
    <row r="15" spans="1:12" ht="19.5" thickBot="1" x14ac:dyDescent="0.3">
      <c r="A15" s="21">
        <v>0.15</v>
      </c>
      <c r="B15" s="22">
        <v>0.11899999999999999</v>
      </c>
      <c r="C15" s="22">
        <v>42.58</v>
      </c>
      <c r="D15" s="22">
        <v>28</v>
      </c>
      <c r="E15" s="22">
        <v>0.26800000000000002</v>
      </c>
      <c r="G15" s="16" t="s">
        <v>17</v>
      </c>
      <c r="H15" s="16">
        <v>20</v>
      </c>
      <c r="I15" s="16">
        <v>4.6315752380952393</v>
      </c>
      <c r="J15" s="16"/>
      <c r="K15" s="16"/>
      <c r="L15" s="16"/>
    </row>
    <row r="16" spans="1:12" ht="19.5" thickBot="1" x14ac:dyDescent="0.3">
      <c r="A16" s="21">
        <v>0.15</v>
      </c>
      <c r="B16" s="22">
        <v>0.11899999999999999</v>
      </c>
      <c r="C16" s="22">
        <v>42.58</v>
      </c>
      <c r="D16" s="22">
        <v>38</v>
      </c>
      <c r="E16" s="22">
        <v>0.26800000000000002</v>
      </c>
    </row>
    <row r="17" spans="1:15" ht="19.5" thickBot="1" x14ac:dyDescent="0.3">
      <c r="A17" s="21">
        <v>0.14000000000000001</v>
      </c>
      <c r="B17" s="22">
        <v>9.8000000000000004E-2</v>
      </c>
      <c r="C17" s="22">
        <v>39.31</v>
      </c>
      <c r="D17" s="22">
        <v>29</v>
      </c>
      <c r="E17" s="22">
        <v>0.23799999999999999</v>
      </c>
      <c r="G17" s="17"/>
      <c r="H17" s="17" t="s">
        <v>24</v>
      </c>
      <c r="I17" s="17" t="s">
        <v>12</v>
      </c>
      <c r="J17" s="17" t="s">
        <v>25</v>
      </c>
      <c r="K17" s="17" t="s">
        <v>26</v>
      </c>
      <c r="L17" s="17" t="s">
        <v>27</v>
      </c>
      <c r="M17" s="17" t="s">
        <v>28</v>
      </c>
      <c r="N17" s="17" t="s">
        <v>29</v>
      </c>
      <c r="O17" s="17" t="s">
        <v>30</v>
      </c>
    </row>
    <row r="18" spans="1:15" ht="19.5" thickBot="1" x14ac:dyDescent="0.3">
      <c r="A18" s="21">
        <v>0.217</v>
      </c>
      <c r="B18" s="22">
        <v>4.2000000000000003E-2</v>
      </c>
      <c r="C18" s="22">
        <v>31.59</v>
      </c>
      <c r="D18" s="22">
        <v>40</v>
      </c>
      <c r="E18" s="22">
        <v>0.25800000000000001</v>
      </c>
      <c r="G18" s="15" t="s">
        <v>18</v>
      </c>
      <c r="H18" s="15">
        <v>0.10182681226616905</v>
      </c>
      <c r="I18" s="15">
        <v>2.9968183933794273E-2</v>
      </c>
      <c r="J18" s="15">
        <v>3.397830595645198</v>
      </c>
      <c r="K18" s="15">
        <v>3.6769596088400704E-3</v>
      </c>
      <c r="L18" s="15">
        <v>3.8297100336881287E-2</v>
      </c>
      <c r="M18" s="15">
        <v>0.16535652419545682</v>
      </c>
      <c r="N18" s="15">
        <v>3.8297100336881287E-2</v>
      </c>
      <c r="O18" s="15">
        <v>0.16535652419545682</v>
      </c>
    </row>
    <row r="19" spans="1:15" ht="19.5" thickBot="1" x14ac:dyDescent="0.3">
      <c r="A19" s="21">
        <v>0.28000000000000003</v>
      </c>
      <c r="B19" s="22">
        <v>0.79600000000000004</v>
      </c>
      <c r="C19" s="22">
        <v>106.89</v>
      </c>
      <c r="D19" s="22">
        <v>64</v>
      </c>
      <c r="E19" s="22">
        <v>1.542</v>
      </c>
      <c r="G19" s="15" t="s">
        <v>31</v>
      </c>
      <c r="H19" s="15">
        <v>2.2326208941785977</v>
      </c>
      <c r="I19" s="15">
        <v>0.64241457023091042</v>
      </c>
      <c r="J19" s="15">
        <v>3.4753584330693204</v>
      </c>
      <c r="K19" s="15">
        <v>3.1218567903638595E-3</v>
      </c>
      <c r="L19" s="15">
        <v>0.87076284244914559</v>
      </c>
      <c r="M19" s="15">
        <v>3.5944789459080497</v>
      </c>
      <c r="N19" s="15">
        <v>0.87076284244914559</v>
      </c>
      <c r="O19" s="15">
        <v>3.5944789459080497</v>
      </c>
    </row>
    <row r="20" spans="1:15" ht="19.5" thickBot="1" x14ac:dyDescent="0.3">
      <c r="A20" s="21">
        <v>0.28000000000000003</v>
      </c>
      <c r="B20" s="22">
        <v>0.79600000000000004</v>
      </c>
      <c r="C20" s="22">
        <v>106.9</v>
      </c>
      <c r="D20" s="22">
        <v>59</v>
      </c>
      <c r="E20" s="22">
        <v>1.5409999999999999</v>
      </c>
      <c r="G20" s="15" t="s">
        <v>36</v>
      </c>
      <c r="H20" s="15">
        <v>2.3020905747023446</v>
      </c>
      <c r="I20" s="15">
        <v>0.1852885085808253</v>
      </c>
      <c r="J20" s="15">
        <v>12.424356978933435</v>
      </c>
      <c r="K20" s="15">
        <v>1.241562653231646E-9</v>
      </c>
      <c r="L20" s="15">
        <v>1.9092964834770501</v>
      </c>
      <c r="M20" s="15">
        <v>2.6948846659276393</v>
      </c>
      <c r="N20" s="15">
        <v>1.9092964834770501</v>
      </c>
      <c r="O20" s="15">
        <v>2.6948846659276393</v>
      </c>
    </row>
    <row r="21" spans="1:15" ht="19.5" thickBot="1" x14ac:dyDescent="0.3">
      <c r="A21" s="21">
        <v>0.27600000000000002</v>
      </c>
      <c r="B21" s="22">
        <v>0.67700000000000005</v>
      </c>
      <c r="C21" s="22">
        <v>112.04</v>
      </c>
      <c r="D21" s="22">
        <v>67</v>
      </c>
      <c r="E21" s="22">
        <v>1.0680000000000001</v>
      </c>
      <c r="G21" s="15" t="s">
        <v>37</v>
      </c>
      <c r="H21" s="15">
        <v>-8.4702936391219258E-3</v>
      </c>
      <c r="I21" s="15">
        <v>2.3926016126325318E-3</v>
      </c>
      <c r="J21" s="15">
        <v>-3.5402022611705219</v>
      </c>
      <c r="K21" s="15">
        <v>2.7222764047401533E-3</v>
      </c>
      <c r="L21" s="15">
        <v>-1.3542382476666951E-2</v>
      </c>
      <c r="M21" s="15">
        <v>-3.3982048015769014E-3</v>
      </c>
      <c r="N21" s="15">
        <v>-1.3542382476666951E-2</v>
      </c>
      <c r="O21" s="15">
        <v>-3.3982048015769014E-3</v>
      </c>
    </row>
    <row r="22" spans="1:15" ht="19.5" thickBot="1" x14ac:dyDescent="0.3">
      <c r="A22" s="21">
        <v>0.27600000000000002</v>
      </c>
      <c r="B22" s="22">
        <v>0.67700000000000005</v>
      </c>
      <c r="C22" s="22">
        <v>112.05</v>
      </c>
      <c r="D22" s="22">
        <v>64</v>
      </c>
      <c r="E22" s="22">
        <v>1.0680000000000001</v>
      </c>
      <c r="G22" s="16" t="s">
        <v>38</v>
      </c>
      <c r="H22" s="16">
        <v>-2.7706332618203126E-3</v>
      </c>
      <c r="I22" s="16">
        <v>4.0590553689450835E-3</v>
      </c>
      <c r="J22" s="16">
        <v>-0.68258080020730993</v>
      </c>
      <c r="K22" s="16">
        <v>0.50463521301910164</v>
      </c>
      <c r="L22" s="16">
        <v>-1.1375446248279481E-2</v>
      </c>
      <c r="M22" s="16">
        <v>5.8341797246388568E-3</v>
      </c>
      <c r="N22" s="16">
        <v>-1.1375446248279481E-2</v>
      </c>
      <c r="O22" s="16">
        <v>5.8341797246388568E-3</v>
      </c>
    </row>
    <row r="26" spans="1:15" x14ac:dyDescent="0.25">
      <c r="G26" t="s">
        <v>39</v>
      </c>
    </row>
    <row r="27" spans="1:15" ht="15.75" thickBot="1" x14ac:dyDescent="0.3"/>
    <row r="28" spans="1:15" x14ac:dyDescent="0.25">
      <c r="G28" s="17" t="s">
        <v>40</v>
      </c>
      <c r="H28" s="17" t="s">
        <v>41</v>
      </c>
      <c r="I28" s="17" t="s">
        <v>42</v>
      </c>
    </row>
    <row r="29" spans="1:15" x14ac:dyDescent="0.25">
      <c r="G29" s="15">
        <v>1</v>
      </c>
      <c r="H29" s="15">
        <v>7.3593587382918366E-2</v>
      </c>
      <c r="I29" s="15">
        <v>-3.2593587382918364E-2</v>
      </c>
    </row>
    <row r="30" spans="1:15" x14ac:dyDescent="0.25">
      <c r="G30" s="15">
        <v>2</v>
      </c>
      <c r="H30" s="15">
        <v>7.1151335886015465E-2</v>
      </c>
      <c r="I30" s="15">
        <v>-3.3151335886015466E-2</v>
      </c>
    </row>
    <row r="31" spans="1:15" x14ac:dyDescent="0.25">
      <c r="G31" s="15">
        <v>3</v>
      </c>
      <c r="H31" s="15">
        <v>8.5650666568423683E-2</v>
      </c>
      <c r="I31" s="15">
        <v>-5.2650666568423682E-2</v>
      </c>
    </row>
    <row r="32" spans="1:15" x14ac:dyDescent="0.25">
      <c r="G32" s="15">
        <v>4</v>
      </c>
      <c r="H32" s="15">
        <v>8.098718452431633E-2</v>
      </c>
      <c r="I32" s="15">
        <v>-3.8987184524316328E-2</v>
      </c>
    </row>
    <row r="33" spans="7:9" x14ac:dyDescent="0.25">
      <c r="G33" s="15">
        <v>5</v>
      </c>
      <c r="H33" s="15">
        <v>7.4284072020618874E-2</v>
      </c>
      <c r="I33" s="15">
        <v>3.1715927979381123E-2</v>
      </c>
    </row>
    <row r="34" spans="7:9" x14ac:dyDescent="0.25">
      <c r="G34" s="15">
        <v>6</v>
      </c>
      <c r="H34" s="15">
        <v>6.8742805496978254E-2</v>
      </c>
      <c r="I34" s="15">
        <v>3.6257194503021742E-2</v>
      </c>
    </row>
    <row r="35" spans="7:9" x14ac:dyDescent="0.25">
      <c r="G35" s="15">
        <v>7</v>
      </c>
      <c r="H35" s="15">
        <v>4.8290444165037402E-2</v>
      </c>
      <c r="I35" s="15">
        <v>4.6709555834962599E-2</v>
      </c>
    </row>
    <row r="36" spans="7:9" x14ac:dyDescent="0.25">
      <c r="G36" s="15">
        <v>8</v>
      </c>
      <c r="H36" s="15">
        <v>8.2626434930699766E-2</v>
      </c>
      <c r="I36" s="15">
        <v>-1.2626434930699759E-2</v>
      </c>
    </row>
    <row r="37" spans="7:9" x14ac:dyDescent="0.25">
      <c r="G37" s="15">
        <v>9</v>
      </c>
      <c r="H37" s="15">
        <v>7.7591061499369007E-2</v>
      </c>
      <c r="I37" s="15">
        <v>3.0408938500630991E-2</v>
      </c>
    </row>
    <row r="38" spans="7:9" x14ac:dyDescent="0.25">
      <c r="G38" s="15">
        <v>10</v>
      </c>
      <c r="H38" s="15">
        <v>0.29480578103478527</v>
      </c>
      <c r="I38" s="15">
        <v>6.194218965214715E-3</v>
      </c>
    </row>
    <row r="39" spans="7:9" x14ac:dyDescent="0.25">
      <c r="G39" s="15">
        <v>11</v>
      </c>
      <c r="H39" s="15">
        <v>0.28372324798750403</v>
      </c>
      <c r="I39" s="15">
        <v>1.7276752012495955E-2</v>
      </c>
    </row>
    <row r="40" spans="7:9" x14ac:dyDescent="0.25">
      <c r="G40" s="15">
        <v>12</v>
      </c>
      <c r="H40" s="15">
        <v>0.19441172904117163</v>
      </c>
      <c r="I40" s="15">
        <v>3.4588270958828382E-2</v>
      </c>
    </row>
    <row r="41" spans="7:9" x14ac:dyDescent="0.25">
      <c r="G41" s="15">
        <v>13</v>
      </c>
      <c r="H41" s="15">
        <v>0.20549426208845287</v>
      </c>
      <c r="I41" s="15">
        <v>2.3505737911547142E-2</v>
      </c>
    </row>
    <row r="42" spans="7:9" x14ac:dyDescent="0.25">
      <c r="G42" s="15">
        <v>14</v>
      </c>
      <c r="H42" s="15">
        <v>0.27242589029775732</v>
      </c>
      <c r="I42" s="15">
        <v>-4.4258902977573067E-3</v>
      </c>
    </row>
    <row r="43" spans="7:9" x14ac:dyDescent="0.25">
      <c r="G43" s="15">
        <v>15</v>
      </c>
      <c r="H43" s="15">
        <v>0.24471955767955417</v>
      </c>
      <c r="I43" s="15">
        <v>2.3280442320445849E-2</v>
      </c>
    </row>
    <row r="44" spans="7:9" x14ac:dyDescent="0.25">
      <c r="G44" s="15">
        <v>16</v>
      </c>
      <c r="H44" s="15">
        <v>0.22668300622533055</v>
      </c>
      <c r="I44" s="15">
        <v>1.1316993774669437E-2</v>
      </c>
    </row>
    <row r="45" spans="7:9" x14ac:dyDescent="0.25">
      <c r="G45" s="15">
        <v>17</v>
      </c>
      <c r="H45" s="15">
        <v>0.30459144390774906</v>
      </c>
      <c r="I45" s="15">
        <v>-4.6591443907749053E-2</v>
      </c>
    </row>
    <row r="46" spans="7:9" x14ac:dyDescent="0.25">
      <c r="G46" s="15">
        <v>18</v>
      </c>
      <c r="H46" s="15">
        <v>1.4767145442570004</v>
      </c>
      <c r="I46" s="15">
        <v>6.5285455742999599E-2</v>
      </c>
    </row>
    <row r="47" spans="7:9" x14ac:dyDescent="0.25">
      <c r="G47" s="15">
        <v>19</v>
      </c>
      <c r="H47" s="15">
        <v>1.4904830076297104</v>
      </c>
      <c r="I47" s="15">
        <v>5.0516992370289504E-2</v>
      </c>
    </row>
    <row r="48" spans="7:9" x14ac:dyDescent="0.25">
      <c r="G48" s="15">
        <v>20</v>
      </c>
      <c r="H48" s="15">
        <v>1.1419013702637679</v>
      </c>
      <c r="I48" s="15">
        <v>-7.3901370263767863E-2</v>
      </c>
    </row>
    <row r="49" spans="7:9" ht="15.75" thickBot="1" x14ac:dyDescent="0.3">
      <c r="G49" s="16">
        <v>21</v>
      </c>
      <c r="H49" s="16">
        <v>1.1501285671128378</v>
      </c>
      <c r="I49" s="16">
        <v>-8.212856711283778E-2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9A4B-4EA6-4243-957A-524C3A99153F}">
  <dimension ref="A1:P74"/>
  <sheetViews>
    <sheetView workbookViewId="0">
      <selection activeCell="Z53" sqref="Z53"/>
    </sheetView>
  </sheetViews>
  <sheetFormatPr defaultRowHeight="15" x14ac:dyDescent="0.25"/>
  <sheetData>
    <row r="1" spans="1:16" ht="19.5" thickBot="1" x14ac:dyDescent="0.3">
      <c r="A1" s="23" t="s">
        <v>1</v>
      </c>
      <c r="B1" s="24">
        <v>1</v>
      </c>
      <c r="C1" s="24">
        <v>2</v>
      </c>
      <c r="D1" s="24">
        <v>5</v>
      </c>
      <c r="E1" s="24">
        <v>6</v>
      </c>
      <c r="F1" s="24">
        <v>7</v>
      </c>
      <c r="G1" s="24">
        <v>9</v>
      </c>
      <c r="H1" s="24">
        <v>11</v>
      </c>
      <c r="I1" s="24">
        <v>14</v>
      </c>
      <c r="J1" s="24">
        <v>18</v>
      </c>
      <c r="K1" s="24">
        <v>19</v>
      </c>
      <c r="L1" s="27" t="s">
        <v>43</v>
      </c>
      <c r="M1">
        <f>SUM(B1:K1)</f>
        <v>92</v>
      </c>
      <c r="N1" t="s">
        <v>44</v>
      </c>
    </row>
    <row r="2" spans="1:16" ht="19.5" thickBot="1" x14ac:dyDescent="0.3">
      <c r="A2" s="25" t="s">
        <v>2</v>
      </c>
      <c r="B2" s="26">
        <v>0.11</v>
      </c>
      <c r="C2" s="26">
        <v>0.14000000000000001</v>
      </c>
      <c r="D2" s="26">
        <v>0.12</v>
      </c>
      <c r="E2" s="26">
        <v>0.14000000000000001</v>
      </c>
      <c r="F2" s="26">
        <v>0.15</v>
      </c>
      <c r="G2" s="26">
        <v>0.18</v>
      </c>
      <c r="H2" s="26">
        <v>0.28999999999999998</v>
      </c>
      <c r="I2" s="26">
        <v>0.3</v>
      </c>
      <c r="J2" s="26">
        <v>0.64</v>
      </c>
      <c r="K2" s="26">
        <v>0.92</v>
      </c>
      <c r="L2" s="27"/>
      <c r="M2">
        <f>SUM(B2:K2)</f>
        <v>2.99</v>
      </c>
      <c r="O2" t="s">
        <v>52</v>
      </c>
    </row>
    <row r="3" spans="1:16" x14ac:dyDescent="0.25">
      <c r="O3" t="s">
        <v>53</v>
      </c>
      <c r="P3">
        <f>(0.0381*15)-0.0512</f>
        <v>0.52029999999999998</v>
      </c>
    </row>
    <row r="4" spans="1:16" x14ac:dyDescent="0.25">
      <c r="A4" t="s">
        <v>7</v>
      </c>
      <c r="P4">
        <f>B35*15-B36</f>
        <v>-0.19804144016391989</v>
      </c>
    </row>
    <row r="5" spans="1:16" ht="15.75" thickBot="1" x14ac:dyDescent="0.3"/>
    <row r="6" spans="1:16" x14ac:dyDescent="0.25">
      <c r="A6" s="18" t="s">
        <v>8</v>
      </c>
      <c r="B6" s="18"/>
    </row>
    <row r="7" spans="1:16" x14ac:dyDescent="0.25">
      <c r="A7" s="15" t="s">
        <v>9</v>
      </c>
      <c r="B7" s="15">
        <v>0.8806764657233801</v>
      </c>
    </row>
    <row r="8" spans="1:16" x14ac:dyDescent="0.25">
      <c r="A8" s="15" t="s">
        <v>10</v>
      </c>
      <c r="B8" s="15">
        <v>0.7755910372790239</v>
      </c>
    </row>
    <row r="9" spans="1:16" x14ac:dyDescent="0.25">
      <c r="A9" s="15" t="s">
        <v>11</v>
      </c>
      <c r="B9" s="15">
        <v>-1.25</v>
      </c>
    </row>
    <row r="10" spans="1:16" x14ac:dyDescent="0.25">
      <c r="A10" s="15" t="s">
        <v>12</v>
      </c>
      <c r="B10" s="15">
        <v>0.13572358017733963</v>
      </c>
    </row>
    <row r="11" spans="1:16" ht="15.75" thickBot="1" x14ac:dyDescent="0.3">
      <c r="A11" s="16" t="s">
        <v>13</v>
      </c>
      <c r="B11" s="16">
        <v>1</v>
      </c>
    </row>
    <row r="13" spans="1:16" ht="15.75" thickBot="1" x14ac:dyDescent="0.3">
      <c r="A13" t="s">
        <v>14</v>
      </c>
    </row>
    <row r="14" spans="1:16" x14ac:dyDescent="0.25">
      <c r="A14" s="17"/>
      <c r="B14" s="17" t="s">
        <v>19</v>
      </c>
      <c r="C14" s="17" t="s">
        <v>20</v>
      </c>
      <c r="D14" s="17" t="s">
        <v>21</v>
      </c>
      <c r="E14" s="17" t="s">
        <v>22</v>
      </c>
      <c r="F14" s="17" t="s">
        <v>23</v>
      </c>
    </row>
    <row r="15" spans="1:16" x14ac:dyDescent="0.25">
      <c r="A15" s="15" t="s">
        <v>15</v>
      </c>
      <c r="B15" s="15">
        <v>10</v>
      </c>
      <c r="C15" s="15">
        <v>0.50932287827076217</v>
      </c>
      <c r="D15" s="15">
        <v>5.093228782707622E-2</v>
      </c>
      <c r="E15" s="15">
        <v>27.649200027482745</v>
      </c>
      <c r="F15" s="15" t="e">
        <v>#NUM!</v>
      </c>
    </row>
    <row r="16" spans="1:16" x14ac:dyDescent="0.25">
      <c r="A16" s="15" t="s">
        <v>16</v>
      </c>
      <c r="B16" s="15">
        <v>8</v>
      </c>
      <c r="C16" s="15">
        <v>0.14736712172923788</v>
      </c>
      <c r="D16" s="15">
        <v>1.8420890216154735E-2</v>
      </c>
      <c r="E16" s="15"/>
      <c r="F16" s="15"/>
    </row>
    <row r="17" spans="1:9" ht="15.75" thickBot="1" x14ac:dyDescent="0.3">
      <c r="A17" s="16" t="s">
        <v>17</v>
      </c>
      <c r="B17" s="16">
        <v>18</v>
      </c>
      <c r="C17" s="16">
        <v>0.65669</v>
      </c>
      <c r="D17" s="16"/>
      <c r="E17" s="16"/>
      <c r="F17" s="16"/>
    </row>
    <row r="18" spans="1:9" ht="15.75" thickBot="1" x14ac:dyDescent="0.3"/>
    <row r="19" spans="1:9" x14ac:dyDescent="0.25">
      <c r="A19" s="17"/>
      <c r="B19" s="17" t="s">
        <v>24</v>
      </c>
      <c r="C19" s="17" t="s">
        <v>12</v>
      </c>
      <c r="D19" s="17" t="s">
        <v>25</v>
      </c>
      <c r="E19" s="17" t="s">
        <v>26</v>
      </c>
      <c r="F19" s="17" t="s">
        <v>27</v>
      </c>
      <c r="G19" s="17" t="s">
        <v>28</v>
      </c>
      <c r="H19" s="17" t="s">
        <v>29</v>
      </c>
      <c r="I19" s="17" t="s">
        <v>30</v>
      </c>
    </row>
    <row r="20" spans="1:9" x14ac:dyDescent="0.25">
      <c r="A20" s="15" t="s">
        <v>18</v>
      </c>
      <c r="B20" s="15"/>
      <c r="C20" s="15"/>
      <c r="D20" s="15"/>
      <c r="E20" s="15"/>
      <c r="F20" s="15"/>
      <c r="G20" s="15"/>
      <c r="H20" s="15">
        <v>0</v>
      </c>
      <c r="I20" s="15">
        <v>0</v>
      </c>
    </row>
    <row r="21" spans="1:9" x14ac:dyDescent="0.25">
      <c r="A21" s="15" t="s">
        <v>31</v>
      </c>
      <c r="B21" s="15"/>
      <c r="C21" s="15"/>
      <c r="D21" s="15"/>
      <c r="E21" s="15"/>
      <c r="F21" s="15"/>
      <c r="G21" s="15"/>
      <c r="H21" s="15">
        <v>0</v>
      </c>
      <c r="I21" s="15">
        <v>0</v>
      </c>
    </row>
    <row r="22" spans="1:9" x14ac:dyDescent="0.25">
      <c r="A22" s="15" t="s">
        <v>36</v>
      </c>
      <c r="B22" s="15"/>
      <c r="C22" s="15"/>
      <c r="D22" s="15"/>
      <c r="E22" s="15"/>
      <c r="F22" s="15"/>
      <c r="G22" s="15"/>
      <c r="H22" s="15">
        <v>0</v>
      </c>
      <c r="I22" s="15">
        <v>0</v>
      </c>
    </row>
    <row r="23" spans="1:9" x14ac:dyDescent="0.25">
      <c r="A23" s="15" t="s">
        <v>37</v>
      </c>
      <c r="B23" s="15"/>
      <c r="C23" s="15"/>
      <c r="D23" s="15"/>
      <c r="E23" s="15"/>
      <c r="F23" s="15"/>
      <c r="G23" s="15"/>
      <c r="H23" s="15">
        <v>0</v>
      </c>
      <c r="I23" s="15">
        <v>0</v>
      </c>
    </row>
    <row r="24" spans="1:9" x14ac:dyDescent="0.25">
      <c r="A24" s="15" t="s">
        <v>38</v>
      </c>
      <c r="B24" s="15"/>
      <c r="C24" s="15"/>
      <c r="D24" s="15"/>
      <c r="E24" s="15"/>
      <c r="F24" s="15"/>
      <c r="G24" s="15"/>
      <c r="H24" s="15">
        <v>1.6911732176315259E-306</v>
      </c>
      <c r="I24" s="15">
        <v>1.69123239697102E-306</v>
      </c>
    </row>
    <row r="25" spans="1:9" x14ac:dyDescent="0.25">
      <c r="A25" s="15" t="s">
        <v>45</v>
      </c>
      <c r="B25" s="15"/>
      <c r="C25" s="15"/>
      <c r="D25" s="15"/>
      <c r="E25" s="15"/>
      <c r="F25" s="15"/>
      <c r="G25" s="15"/>
      <c r="H25" s="15">
        <v>1.6434603328078435E-288</v>
      </c>
      <c r="I25" s="15">
        <v>1.6434603328078435E-288</v>
      </c>
    </row>
    <row r="26" spans="1:9" x14ac:dyDescent="0.25">
      <c r="A26" s="15" t="s">
        <v>46</v>
      </c>
      <c r="B26" s="15"/>
      <c r="C26" s="15"/>
      <c r="D26" s="15"/>
      <c r="E26" s="15"/>
      <c r="F26" s="15"/>
      <c r="G26" s="15"/>
      <c r="H26" s="15">
        <v>0</v>
      </c>
      <c r="I26" s="15">
        <v>0</v>
      </c>
    </row>
    <row r="27" spans="1:9" x14ac:dyDescent="0.25">
      <c r="A27" s="15" t="s">
        <v>47</v>
      </c>
      <c r="B27" s="15"/>
      <c r="C27" s="15"/>
      <c r="D27" s="15"/>
      <c r="E27" s="15"/>
      <c r="F27" s="15"/>
      <c r="G27" s="15"/>
      <c r="H27" s="15">
        <v>0</v>
      </c>
      <c r="I27" s="15">
        <v>0</v>
      </c>
    </row>
    <row r="28" spans="1:9" x14ac:dyDescent="0.25">
      <c r="A28" s="15" t="s">
        <v>48</v>
      </c>
      <c r="B28" s="15"/>
      <c r="C28" s="15"/>
      <c r="D28" s="15"/>
      <c r="E28" s="15"/>
      <c r="F28" s="15"/>
      <c r="G28" s="15"/>
      <c r="H28" s="15">
        <v>0</v>
      </c>
      <c r="I28" s="15">
        <v>0</v>
      </c>
    </row>
    <row r="29" spans="1:9" x14ac:dyDescent="0.25">
      <c r="A29" s="15" t="s">
        <v>49</v>
      </c>
      <c r="B29" s="15">
        <v>-5.1154721274174975E-2</v>
      </c>
      <c r="C29" s="15">
        <v>7.9224459138290446E-2</v>
      </c>
      <c r="D29" s="15">
        <v>-0.64569353745768998</v>
      </c>
      <c r="E29" s="15">
        <v>0.53655425337781582</v>
      </c>
      <c r="F29" s="15">
        <v>-0.23384665165638632</v>
      </c>
      <c r="G29" s="15">
        <v>0.13153720910803637</v>
      </c>
      <c r="H29" s="15">
        <v>-0.23384665165638632</v>
      </c>
      <c r="I29" s="15">
        <v>0.13153720910803637</v>
      </c>
    </row>
    <row r="30" spans="1:9" ht="15.75" thickBot="1" x14ac:dyDescent="0.3">
      <c r="A30" s="16" t="s">
        <v>50</v>
      </c>
      <c r="B30" s="16">
        <v>3.8060295790671203E-2</v>
      </c>
      <c r="C30" s="16">
        <v>7.2382049154897394E-3</v>
      </c>
      <c r="D30" s="16">
        <v>5.2582506622909042</v>
      </c>
      <c r="E30" s="16">
        <v>7.6612643207401004E-4</v>
      </c>
      <c r="F30" s="16">
        <v>2.1368965324096736E-2</v>
      </c>
      <c r="G30" s="16">
        <v>5.4751626257245667E-2</v>
      </c>
      <c r="H30" s="16">
        <v>2.1368965324096736E-2</v>
      </c>
      <c r="I30" s="16">
        <v>5.4751626257245667E-2</v>
      </c>
    </row>
    <row r="33" spans="1:12" x14ac:dyDescent="0.25">
      <c r="A33" t="s">
        <v>3</v>
      </c>
      <c r="B33">
        <f>B1^2</f>
        <v>1</v>
      </c>
      <c r="C33">
        <f t="shared" ref="C33:K33" si="0">C1^2</f>
        <v>4</v>
      </c>
      <c r="D33">
        <f t="shared" si="0"/>
        <v>25</v>
      </c>
      <c r="E33">
        <f t="shared" si="0"/>
        <v>36</v>
      </c>
      <c r="F33">
        <f t="shared" si="0"/>
        <v>49</v>
      </c>
      <c r="G33">
        <f t="shared" si="0"/>
        <v>81</v>
      </c>
      <c r="H33">
        <f t="shared" si="0"/>
        <v>121</v>
      </c>
      <c r="I33">
        <f t="shared" si="0"/>
        <v>196</v>
      </c>
      <c r="J33">
        <f t="shared" si="0"/>
        <v>324</v>
      </c>
      <c r="K33">
        <f t="shared" si="0"/>
        <v>361</v>
      </c>
      <c r="L33">
        <f>SUM(B33:K33)</f>
        <v>1198</v>
      </c>
    </row>
    <row r="34" spans="1:12" x14ac:dyDescent="0.25">
      <c r="A34" t="s">
        <v>51</v>
      </c>
      <c r="B34">
        <f>B1*B2</f>
        <v>0.11</v>
      </c>
      <c r="C34">
        <f t="shared" ref="C34:K34" si="1">C1*C2</f>
        <v>0.28000000000000003</v>
      </c>
      <c r="D34">
        <f t="shared" si="1"/>
        <v>0.6</v>
      </c>
      <c r="E34">
        <f t="shared" si="1"/>
        <v>0.84000000000000008</v>
      </c>
      <c r="F34">
        <f t="shared" si="1"/>
        <v>1.05</v>
      </c>
      <c r="G34">
        <f t="shared" si="1"/>
        <v>1.6199999999999999</v>
      </c>
      <c r="H34">
        <f t="shared" si="1"/>
        <v>3.19</v>
      </c>
      <c r="I34">
        <f t="shared" si="1"/>
        <v>4.2</v>
      </c>
      <c r="J34">
        <f t="shared" si="1"/>
        <v>11.52</v>
      </c>
      <c r="K34">
        <f t="shared" si="1"/>
        <v>17.48</v>
      </c>
      <c r="L34">
        <f>SUM(B34:K34)</f>
        <v>40.89</v>
      </c>
    </row>
    <row r="35" spans="1:12" x14ac:dyDescent="0.25">
      <c r="A35" t="s">
        <v>4</v>
      </c>
      <c r="B35">
        <f>(10*L34-M1*M2)/(10*L34-M1^2)</f>
        <v>-1.6613077429206334E-2</v>
      </c>
    </row>
    <row r="36" spans="1:12" x14ac:dyDescent="0.25">
      <c r="A36" t="s">
        <v>5</v>
      </c>
      <c r="B36">
        <f>(L33*M2-M1*L34)/(10*L33-M1^2)</f>
        <v>-5.1154721274175106E-2</v>
      </c>
    </row>
    <row r="41" spans="1:12" x14ac:dyDescent="0.25">
      <c r="C41" t="s">
        <v>7</v>
      </c>
    </row>
    <row r="42" spans="1:12" ht="15.75" thickBot="1" x14ac:dyDescent="0.3"/>
    <row r="43" spans="1:12" x14ac:dyDescent="0.25">
      <c r="C43" s="18" t="s">
        <v>8</v>
      </c>
      <c r="D43" s="18"/>
    </row>
    <row r="44" spans="1:12" x14ac:dyDescent="0.25">
      <c r="C44" s="15" t="s">
        <v>9</v>
      </c>
      <c r="D44" s="15">
        <v>0.8806764657233801</v>
      </c>
    </row>
    <row r="45" spans="1:12" x14ac:dyDescent="0.25">
      <c r="C45" s="15" t="s">
        <v>10</v>
      </c>
      <c r="D45" s="15">
        <v>0.7755910372790239</v>
      </c>
    </row>
    <row r="46" spans="1:12" x14ac:dyDescent="0.25">
      <c r="C46" s="15" t="s">
        <v>11</v>
      </c>
      <c r="D46" s="15">
        <v>-1.25</v>
      </c>
    </row>
    <row r="47" spans="1:12" x14ac:dyDescent="0.25">
      <c r="C47" s="15" t="s">
        <v>12</v>
      </c>
      <c r="D47" s="15">
        <v>0.13572358017733963</v>
      </c>
    </row>
    <row r="48" spans="1:12" ht="15.75" thickBot="1" x14ac:dyDescent="0.3">
      <c r="C48" s="16" t="s">
        <v>13</v>
      </c>
      <c r="D48" s="16">
        <v>1</v>
      </c>
    </row>
    <row r="50" spans="3:11" ht="15.75" thickBot="1" x14ac:dyDescent="0.3">
      <c r="C50" t="s">
        <v>14</v>
      </c>
    </row>
    <row r="51" spans="3:11" x14ac:dyDescent="0.25">
      <c r="C51" s="17"/>
      <c r="D51" s="17" t="s">
        <v>19</v>
      </c>
      <c r="E51" s="17" t="s">
        <v>20</v>
      </c>
      <c r="F51" s="17" t="s">
        <v>21</v>
      </c>
      <c r="G51" s="17" t="s">
        <v>22</v>
      </c>
      <c r="H51" s="17" t="s">
        <v>23</v>
      </c>
    </row>
    <row r="52" spans="3:11" x14ac:dyDescent="0.25">
      <c r="C52" s="15" t="s">
        <v>15</v>
      </c>
      <c r="D52" s="15">
        <v>10</v>
      </c>
      <c r="E52" s="15">
        <v>0.50932287827076217</v>
      </c>
      <c r="F52" s="15">
        <v>5.093228782707622E-2</v>
      </c>
      <c r="G52" s="15">
        <v>27.649200027482745</v>
      </c>
      <c r="H52" s="15" t="e">
        <v>#NUM!</v>
      </c>
    </row>
    <row r="53" spans="3:11" x14ac:dyDescent="0.25">
      <c r="C53" s="15" t="s">
        <v>16</v>
      </c>
      <c r="D53" s="15">
        <v>8</v>
      </c>
      <c r="E53" s="15">
        <v>0.14736712172923788</v>
      </c>
      <c r="F53" s="15">
        <v>1.8420890216154735E-2</v>
      </c>
      <c r="G53" s="15"/>
      <c r="H53" s="15"/>
    </row>
    <row r="54" spans="3:11" ht="15.75" thickBot="1" x14ac:dyDescent="0.3">
      <c r="C54" s="16" t="s">
        <v>17</v>
      </c>
      <c r="D54" s="16">
        <v>18</v>
      </c>
      <c r="E54" s="16">
        <v>0.65669</v>
      </c>
      <c r="F54" s="16"/>
      <c r="G54" s="16"/>
      <c r="H54" s="16"/>
    </row>
    <row r="55" spans="3:11" ht="15.75" thickBot="1" x14ac:dyDescent="0.3"/>
    <row r="56" spans="3:11" x14ac:dyDescent="0.25">
      <c r="C56" s="17"/>
      <c r="D56" s="17" t="s">
        <v>24</v>
      </c>
      <c r="E56" s="17" t="s">
        <v>12</v>
      </c>
      <c r="F56" s="17" t="s">
        <v>25</v>
      </c>
      <c r="G56" s="17" t="s">
        <v>26</v>
      </c>
      <c r="H56" s="17" t="s">
        <v>27</v>
      </c>
      <c r="I56" s="17" t="s">
        <v>28</v>
      </c>
      <c r="J56" s="17" t="s">
        <v>29</v>
      </c>
      <c r="K56" s="17" t="s">
        <v>30</v>
      </c>
    </row>
    <row r="57" spans="3:11" x14ac:dyDescent="0.25">
      <c r="C57" s="15" t="s">
        <v>18</v>
      </c>
      <c r="D57" s="15"/>
      <c r="E57" s="15"/>
      <c r="F57" s="15"/>
      <c r="G57" s="15"/>
      <c r="H57" s="15"/>
      <c r="I57" s="15"/>
      <c r="J57" s="15">
        <v>0</v>
      </c>
      <c r="K57" s="15">
        <v>0</v>
      </c>
    </row>
    <row r="58" spans="3:11" x14ac:dyDescent="0.25">
      <c r="C58" s="15" t="s">
        <v>31</v>
      </c>
      <c r="D58" s="15"/>
      <c r="E58" s="15"/>
      <c r="F58" s="15"/>
      <c r="G58" s="15"/>
      <c r="H58" s="15"/>
      <c r="I58" s="15"/>
      <c r="J58" s="15">
        <v>0</v>
      </c>
      <c r="K58" s="15">
        <v>0</v>
      </c>
    </row>
    <row r="59" spans="3:11" x14ac:dyDescent="0.25">
      <c r="C59" s="15" t="s">
        <v>36</v>
      </c>
      <c r="D59" s="15"/>
      <c r="E59" s="15"/>
      <c r="F59" s="15"/>
      <c r="G59" s="15"/>
      <c r="H59" s="15"/>
      <c r="I59" s="15"/>
      <c r="J59" s="15">
        <v>0</v>
      </c>
      <c r="K59" s="15">
        <v>0</v>
      </c>
    </row>
    <row r="60" spans="3:11" x14ac:dyDescent="0.25">
      <c r="C60" s="15" t="s">
        <v>37</v>
      </c>
      <c r="D60" s="15"/>
      <c r="E60" s="15"/>
      <c r="F60" s="15"/>
      <c r="G60" s="15"/>
      <c r="H60" s="15"/>
      <c r="I60" s="15"/>
      <c r="J60" s="15">
        <v>0</v>
      </c>
      <c r="K60" s="15">
        <v>0</v>
      </c>
    </row>
    <row r="61" spans="3:11" x14ac:dyDescent="0.25">
      <c r="C61" s="15" t="s">
        <v>38</v>
      </c>
      <c r="D61" s="15"/>
      <c r="E61" s="15"/>
      <c r="F61" s="15"/>
      <c r="G61" s="15"/>
      <c r="H61" s="15"/>
      <c r="I61" s="15"/>
      <c r="J61" s="15">
        <v>-1.5143298555472244</v>
      </c>
      <c r="K61" s="15">
        <v>1.5143298555472244</v>
      </c>
    </row>
    <row r="62" spans="3:11" x14ac:dyDescent="0.25">
      <c r="C62" s="15" t="s">
        <v>45</v>
      </c>
      <c r="D62" s="15"/>
      <c r="E62" s="15"/>
      <c r="F62" s="15"/>
      <c r="G62" s="15"/>
      <c r="H62" s="15"/>
      <c r="I62" s="15"/>
      <c r="J62" s="15">
        <v>-41.508074433675006</v>
      </c>
      <c r="K62" s="15">
        <v>41.508074433675006</v>
      </c>
    </row>
    <row r="63" spans="3:11" x14ac:dyDescent="0.25">
      <c r="C63" s="15" t="s">
        <v>46</v>
      </c>
      <c r="D63" s="15"/>
      <c r="E63" s="15"/>
      <c r="F63" s="15"/>
      <c r="G63" s="15"/>
      <c r="H63" s="15"/>
      <c r="I63" s="15"/>
      <c r="J63" s="15">
        <v>-2.567403585295646E-308</v>
      </c>
      <c r="K63" s="15">
        <v>2.567403585295646E-308</v>
      </c>
    </row>
    <row r="64" spans="3:11" x14ac:dyDescent="0.25">
      <c r="C64" s="15" t="s">
        <v>47</v>
      </c>
      <c r="D64" s="15"/>
      <c r="E64" s="15"/>
      <c r="F64" s="15"/>
      <c r="G64" s="15"/>
      <c r="H64" s="15"/>
      <c r="I64" s="15"/>
      <c r="J64" s="15">
        <v>0</v>
      </c>
      <c r="K64" s="15">
        <v>0</v>
      </c>
    </row>
    <row r="65" spans="3:11" x14ac:dyDescent="0.25">
      <c r="C65" s="15" t="s">
        <v>48</v>
      </c>
      <c r="D65" s="15"/>
      <c r="E65" s="15"/>
      <c r="F65" s="15"/>
      <c r="G65" s="15"/>
      <c r="H65" s="15"/>
      <c r="I65" s="15"/>
      <c r="J65" s="15">
        <v>0</v>
      </c>
      <c r="K65" s="15">
        <v>0</v>
      </c>
    </row>
    <row r="66" spans="3:11" x14ac:dyDescent="0.25">
      <c r="C66" s="15" t="s">
        <v>49</v>
      </c>
      <c r="D66" s="15">
        <v>-5.1154721274174975E-2</v>
      </c>
      <c r="E66" s="15">
        <v>7.9224459138290446E-2</v>
      </c>
      <c r="F66" s="15">
        <v>-0.64569353745768998</v>
      </c>
      <c r="G66" s="15">
        <v>0.53655425337781582</v>
      </c>
      <c r="H66" s="15">
        <v>-0.23384665165638632</v>
      </c>
      <c r="I66" s="15">
        <v>0.13153720910803637</v>
      </c>
      <c r="J66" s="15">
        <v>-0.23384665165638632</v>
      </c>
      <c r="K66" s="15">
        <v>0.13153720910803637</v>
      </c>
    </row>
    <row r="67" spans="3:11" ht="15.75" thickBot="1" x14ac:dyDescent="0.3">
      <c r="C67" s="16" t="s">
        <v>50</v>
      </c>
      <c r="D67" s="16">
        <v>3.8060295790671203E-2</v>
      </c>
      <c r="E67" s="16">
        <v>7.2382049154897394E-3</v>
      </c>
      <c r="F67" s="16">
        <v>5.2582506622909042</v>
      </c>
      <c r="G67" s="16">
        <v>7.6612643207401004E-4</v>
      </c>
      <c r="H67" s="16">
        <v>2.1368965324096736E-2</v>
      </c>
      <c r="I67" s="16">
        <v>5.4751626257245667E-2</v>
      </c>
      <c r="J67" s="16">
        <v>2.1368965324096736E-2</v>
      </c>
      <c r="K67" s="16">
        <v>5.4751626257245667E-2</v>
      </c>
    </row>
    <row r="71" spans="3:11" x14ac:dyDescent="0.25">
      <c r="C71" t="s">
        <v>39</v>
      </c>
    </row>
    <row r="72" spans="3:11" ht="15.75" thickBot="1" x14ac:dyDescent="0.3"/>
    <row r="73" spans="3:11" x14ac:dyDescent="0.25">
      <c r="C73" s="17" t="s">
        <v>40</v>
      </c>
      <c r="D73" s="17" t="s">
        <v>41</v>
      </c>
      <c r="E73" s="17" t="s">
        <v>42</v>
      </c>
    </row>
    <row r="74" spans="3:11" ht="15.75" thickBot="1" x14ac:dyDescent="0.3">
      <c r="C74" s="16">
        <v>1</v>
      </c>
      <c r="D74" s="16">
        <v>5.8080871234313125E+180</v>
      </c>
      <c r="E74" s="16">
        <v>-5.8080871234313125E+180</v>
      </c>
    </row>
  </sheetData>
  <mergeCells count="1">
    <mergeCell ref="L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Dembovetskiy Maksim</dc:creator>
  <cp:lastModifiedBy>Dembovetskiy Maksim</cp:lastModifiedBy>
  <dcterms:created xsi:type="dcterms:W3CDTF">2015-06-05T18:19:34Z</dcterms:created>
  <dcterms:modified xsi:type="dcterms:W3CDTF">2025-06-02T17:31:11Z</dcterms:modified>
</cp:coreProperties>
</file>