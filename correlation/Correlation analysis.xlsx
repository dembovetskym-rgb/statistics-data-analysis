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MDem\Desktop\статистика\"/>
    </mc:Choice>
  </mc:AlternateContent>
  <xr:revisionPtr revIDLastSave="0" documentId="13_ncr:1_{F25ACEFF-ADF3-4557-AA33-28FDFAAC514F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задание 1" sheetId="1" r:id="rId1"/>
    <sheet name="задание 2" sheetId="3" r:id="rId2"/>
    <sheet name="задание 3" sheetId="5" r:id="rId3"/>
    <sheet name="задание 4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6" l="1"/>
  <c r="E28" i="6"/>
  <c r="D28" i="6"/>
  <c r="C28" i="6"/>
  <c r="B28" i="6"/>
  <c r="E27" i="6"/>
  <c r="F27" i="6"/>
  <c r="D27" i="6"/>
  <c r="C27" i="6"/>
  <c r="B27" i="6"/>
  <c r="B7" i="5"/>
  <c r="I6" i="3"/>
  <c r="H6" i="3"/>
  <c r="H5" i="3"/>
  <c r="G6" i="3"/>
  <c r="G5" i="3"/>
  <c r="G4" i="3"/>
  <c r="B17" i="1"/>
  <c r="E14" i="1"/>
  <c r="B14" i="1"/>
  <c r="B12" i="1"/>
  <c r="A12" i="1"/>
</calcChain>
</file>

<file path=xl/sharedStrings.xml><?xml version="1.0" encoding="utf-8"?>
<sst xmlns="http://schemas.openxmlformats.org/spreadsheetml/2006/main" count="52" uniqueCount="30">
  <si>
    <t>x</t>
  </si>
  <si>
    <t>y</t>
  </si>
  <si>
    <t>R=</t>
  </si>
  <si>
    <t>mr</t>
  </si>
  <si>
    <t>R2</t>
  </si>
  <si>
    <t>Число ясных дней</t>
  </si>
  <si>
    <t>Количество посетителей кинотеатров</t>
  </si>
  <si>
    <t>Количество посетителей парков</t>
  </si>
  <si>
    <t>Количество посетителей бассейнов</t>
  </si>
  <si>
    <t>Возраст</t>
  </si>
  <si>
    <t>ИМТ</t>
  </si>
  <si>
    <t>Строка 1</t>
  </si>
  <si>
    <t>Строка 2</t>
  </si>
  <si>
    <t>№</t>
  </si>
  <si>
    <t>Разряд</t>
  </si>
  <si>
    <t>Оценка</t>
  </si>
  <si>
    <t>Количество нарушений</t>
  </si>
  <si>
    <t>Кол-во дней по болезни</t>
  </si>
  <si>
    <t>Средняя заработная плата</t>
  </si>
  <si>
    <t>Процент брака</t>
  </si>
  <si>
    <t>ясные дни</t>
  </si>
  <si>
    <t>кинотеатры</t>
  </si>
  <si>
    <t>парки</t>
  </si>
  <si>
    <t>бассейны</t>
  </si>
  <si>
    <t>Заработная плата</t>
  </si>
  <si>
    <t>процент брака</t>
  </si>
  <si>
    <t>Квалификация</t>
  </si>
  <si>
    <t>Стаж</t>
  </si>
  <si>
    <t>Кол-во нарушений</t>
  </si>
  <si>
    <t>кол-во пропущенных по болезни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</si>
</sst>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ill="1" applyBorder="1" applyAlignment="1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wrapText="1"/>
    </xf>
    <xf numFmtId="0" fontId="0" fillId="0" borderId="0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Border="1"/>
    <xf numFmtId="0" fontId="3" fillId="0" borderId="0" xfId="0" applyFont="1" applyFill="1" applyBorder="1" applyAlignment="1">
      <alignment horizontal="center"/>
    </xf>
    <xf numFmtId="0" fontId="0" fillId="0" borderId="7" xfId="0" applyFill="1" applyBorder="1" applyAlignment="1">
      <alignment wrapText="1"/>
    </xf>
    <xf numFmtId="0" fontId="0" fillId="0" borderId="7" xfId="0" applyBorder="1" applyAlignment="1">
      <alignment wrapText="1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17</xdr:row>
      <xdr:rowOff>180975</xdr:rowOff>
    </xdr:from>
    <xdr:to>
      <xdr:col>2</xdr:col>
      <xdr:colOff>190362</xdr:colOff>
      <xdr:row>21</xdr:row>
      <xdr:rowOff>18975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F2598CE-5CE1-40EF-82DA-6A8A6FDAC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419475"/>
          <a:ext cx="1104762" cy="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H16" sqref="H16"/>
    </sheetView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>
        <v>6</v>
      </c>
      <c r="B2">
        <v>1</v>
      </c>
    </row>
    <row r="3" spans="1:5" x14ac:dyDescent="0.25">
      <c r="A3">
        <v>8</v>
      </c>
      <c r="B3">
        <v>1</v>
      </c>
    </row>
    <row r="4" spans="1:5" x14ac:dyDescent="0.25">
      <c r="A4">
        <v>7</v>
      </c>
      <c r="B4">
        <v>2</v>
      </c>
    </row>
    <row r="5" spans="1:5" x14ac:dyDescent="0.25">
      <c r="A5">
        <v>6</v>
      </c>
      <c r="B5">
        <v>3</v>
      </c>
    </row>
    <row r="6" spans="1:5" x14ac:dyDescent="0.25">
      <c r="A6">
        <v>6</v>
      </c>
      <c r="B6">
        <v>3</v>
      </c>
    </row>
    <row r="7" spans="1:5" x14ac:dyDescent="0.25">
      <c r="A7">
        <v>5</v>
      </c>
      <c r="B7">
        <v>4</v>
      </c>
    </row>
    <row r="8" spans="1:5" x14ac:dyDescent="0.25">
      <c r="A8">
        <v>8</v>
      </c>
      <c r="B8">
        <v>5</v>
      </c>
    </row>
    <row r="9" spans="1:5" x14ac:dyDescent="0.25">
      <c r="A9">
        <v>6</v>
      </c>
      <c r="B9">
        <v>5</v>
      </c>
    </row>
    <row r="10" spans="1:5" x14ac:dyDescent="0.25">
      <c r="A10">
        <v>9</v>
      </c>
      <c r="B10">
        <v>6</v>
      </c>
    </row>
    <row r="11" spans="1:5" x14ac:dyDescent="0.25">
      <c r="A11">
        <v>9</v>
      </c>
      <c r="B11">
        <v>6</v>
      </c>
    </row>
    <row r="12" spans="1:5" x14ac:dyDescent="0.25">
      <c r="A12">
        <f>SUM(A2:A11)</f>
        <v>70</v>
      </c>
      <c r="B12">
        <f>SUM(B2:B11)</f>
        <v>36</v>
      </c>
    </row>
    <row r="14" spans="1:5" x14ac:dyDescent="0.25">
      <c r="A14" t="s">
        <v>2</v>
      </c>
      <c r="B14">
        <f>CORREL(A2:A11,B2:B11)</f>
        <v>0.41408666249996107</v>
      </c>
      <c r="D14" t="s">
        <v>4</v>
      </c>
      <c r="E14">
        <f>B14^2</f>
        <v>0.17146776406035666</v>
      </c>
    </row>
    <row r="17" spans="1:2" x14ac:dyDescent="0.25">
      <c r="A17" t="s">
        <v>3</v>
      </c>
      <c r="B17">
        <f>1-B14^2/SQRT(11-2)</f>
        <v>0.94284407864654773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921A-9EF8-49C4-A184-84C09A3229D5}">
  <dimension ref="A1:J7"/>
  <sheetViews>
    <sheetView workbookViewId="0">
      <selection activeCell="D12" sqref="D12"/>
    </sheetView>
  </sheetViews>
  <sheetFormatPr defaultRowHeight="15" x14ac:dyDescent="0.25"/>
  <cols>
    <col min="2" max="2" width="16.7109375" customWidth="1"/>
    <col min="3" max="3" width="15.140625" customWidth="1"/>
    <col min="4" max="4" width="16.28515625" customWidth="1"/>
    <col min="6" max="6" width="12" customWidth="1"/>
    <col min="7" max="8" width="12.28515625" bestFit="1" customWidth="1"/>
    <col min="9" max="9" width="11.5703125" bestFit="1" customWidth="1"/>
  </cols>
  <sheetData>
    <row r="1" spans="1:10" ht="57" thickBot="1" x14ac:dyDescent="0.3">
      <c r="A1" s="6" t="s">
        <v>5</v>
      </c>
      <c r="B1" s="7" t="s">
        <v>6</v>
      </c>
      <c r="C1" s="7" t="s">
        <v>7</v>
      </c>
      <c r="D1" s="7" t="s">
        <v>8</v>
      </c>
      <c r="E1" s="8"/>
      <c r="F1" s="8"/>
      <c r="G1" s="8"/>
      <c r="H1" s="8"/>
      <c r="I1" s="8"/>
      <c r="J1" s="8"/>
    </row>
    <row r="2" spans="1:10" ht="30.75" thickBot="1" x14ac:dyDescent="0.3">
      <c r="A2" s="9">
        <v>8</v>
      </c>
      <c r="B2" s="10">
        <v>495</v>
      </c>
      <c r="C2" s="10">
        <v>132</v>
      </c>
      <c r="D2" s="10">
        <v>164</v>
      </c>
      <c r="E2" s="8"/>
      <c r="F2" s="11"/>
      <c r="G2" s="11" t="s">
        <v>20</v>
      </c>
      <c r="H2" s="11" t="s">
        <v>21</v>
      </c>
      <c r="I2" s="11" t="s">
        <v>22</v>
      </c>
      <c r="J2" s="11" t="s">
        <v>23</v>
      </c>
    </row>
    <row r="3" spans="1:10" ht="19.5" thickBot="1" x14ac:dyDescent="0.3">
      <c r="A3" s="9">
        <v>14</v>
      </c>
      <c r="B3" s="10">
        <v>503</v>
      </c>
      <c r="C3" s="10">
        <v>348</v>
      </c>
      <c r="D3" s="10">
        <v>182</v>
      </c>
      <c r="E3" s="8"/>
      <c r="F3" s="12" t="s">
        <v>20</v>
      </c>
      <c r="G3" s="12">
        <v>1</v>
      </c>
      <c r="H3" s="12"/>
      <c r="I3" s="12"/>
      <c r="J3" s="12"/>
    </row>
    <row r="4" spans="1:10" ht="19.5" thickBot="1" x14ac:dyDescent="0.3">
      <c r="A4" s="9">
        <v>20</v>
      </c>
      <c r="B4" s="10">
        <v>380</v>
      </c>
      <c r="C4" s="10">
        <v>643</v>
      </c>
      <c r="D4" s="10">
        <v>153</v>
      </c>
      <c r="E4" s="8"/>
      <c r="F4" s="12" t="s">
        <v>21</v>
      </c>
      <c r="G4" s="12">
        <f>CORREL(A2:A7,B2:B7)</f>
        <v>-0.92185433866734634</v>
      </c>
      <c r="H4" s="12">
        <v>1</v>
      </c>
      <c r="I4" s="12"/>
      <c r="J4" s="12"/>
    </row>
    <row r="5" spans="1:10" ht="19.5" thickBot="1" x14ac:dyDescent="0.3">
      <c r="A5" s="9">
        <v>25</v>
      </c>
      <c r="B5" s="10">
        <v>305</v>
      </c>
      <c r="C5" s="10">
        <v>865</v>
      </c>
      <c r="D5" s="10">
        <v>203</v>
      </c>
      <c r="E5" s="8"/>
      <c r="F5" s="12" t="s">
        <v>22</v>
      </c>
      <c r="G5" s="12">
        <f>CORREL(A2:A7,C2:C7)</f>
        <v>0.97457558823229451</v>
      </c>
      <c r="H5" s="12">
        <f>CORREL(B2:B7,C2:C7)</f>
        <v>-0.9193752444400769</v>
      </c>
      <c r="I5" s="12">
        <v>1</v>
      </c>
      <c r="J5" s="12"/>
    </row>
    <row r="6" spans="1:10" ht="19.5" thickBot="1" x14ac:dyDescent="0.3">
      <c r="A6" s="9">
        <v>20</v>
      </c>
      <c r="B6" s="10">
        <v>348</v>
      </c>
      <c r="C6" s="10">
        <v>743</v>
      </c>
      <c r="D6" s="10">
        <v>169</v>
      </c>
      <c r="E6" s="8"/>
      <c r="F6" s="13" t="s">
        <v>23</v>
      </c>
      <c r="G6" s="13">
        <f>CORREL(A2:A7,D2:D7)</f>
        <v>0.28773635118317559</v>
      </c>
      <c r="H6" s="13">
        <f>CORREL(B2:B7,D2:D7)</f>
        <v>-0.12000700503581047</v>
      </c>
      <c r="I6" s="13">
        <f>CORREL(C2:C7,D2:D7)</f>
        <v>0.32447015874595053</v>
      </c>
      <c r="J6" s="13">
        <v>1</v>
      </c>
    </row>
    <row r="7" spans="1:10" ht="19.5" thickBot="1" x14ac:dyDescent="0.3">
      <c r="A7" s="9">
        <v>15</v>
      </c>
      <c r="B7" s="10">
        <v>465</v>
      </c>
      <c r="C7" s="10">
        <v>541</v>
      </c>
      <c r="D7" s="10">
        <v>199</v>
      </c>
      <c r="E7" s="8"/>
      <c r="F7" s="8"/>
      <c r="G7" s="8"/>
      <c r="H7" s="8"/>
      <c r="I7" s="8"/>
      <c r="J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191E-6CAC-483E-9CAE-8EE29A210C30}">
  <dimension ref="A1:K7"/>
  <sheetViews>
    <sheetView workbookViewId="0">
      <selection activeCell="E18" sqref="E18"/>
    </sheetView>
  </sheetViews>
  <sheetFormatPr defaultRowHeight="15" x14ac:dyDescent="0.25"/>
  <sheetData>
    <row r="1" spans="1:11" ht="15.75" thickBot="1" x14ac:dyDescent="0.3">
      <c r="A1" s="2" t="s">
        <v>9</v>
      </c>
      <c r="B1" s="3">
        <v>16</v>
      </c>
      <c r="C1" s="3">
        <v>19</v>
      </c>
      <c r="D1" s="3">
        <v>14</v>
      </c>
      <c r="E1" s="3">
        <v>20</v>
      </c>
      <c r="F1" s="3">
        <v>18</v>
      </c>
      <c r="G1" s="3">
        <v>16</v>
      </c>
      <c r="H1" s="3">
        <v>18</v>
      </c>
      <c r="I1" s="3">
        <v>20</v>
      </c>
      <c r="J1" s="3">
        <v>19</v>
      </c>
      <c r="K1" s="3">
        <v>20</v>
      </c>
    </row>
    <row r="2" spans="1:11" ht="15.75" thickBot="1" x14ac:dyDescent="0.3">
      <c r="A2" s="4" t="s">
        <v>10</v>
      </c>
      <c r="B2" s="5">
        <v>21</v>
      </c>
      <c r="C2" s="5">
        <v>28</v>
      </c>
      <c r="D2" s="5">
        <v>21</v>
      </c>
      <c r="E2" s="5">
        <v>33</v>
      </c>
      <c r="F2" s="5">
        <v>24</v>
      </c>
      <c r="G2" s="5">
        <v>22</v>
      </c>
      <c r="H2" s="5">
        <v>19</v>
      </c>
      <c r="I2" s="5">
        <v>20</v>
      </c>
      <c r="J2" s="5">
        <v>24</v>
      </c>
      <c r="K2" s="5">
        <v>27</v>
      </c>
    </row>
    <row r="5" spans="1:11" x14ac:dyDescent="0.25">
      <c r="B5" t="s">
        <v>11</v>
      </c>
      <c r="C5" t="s">
        <v>12</v>
      </c>
    </row>
    <row r="6" spans="1:11" x14ac:dyDescent="0.25">
      <c r="A6" t="s">
        <v>11</v>
      </c>
      <c r="B6">
        <v>1</v>
      </c>
    </row>
    <row r="7" spans="1:11" x14ac:dyDescent="0.25">
      <c r="A7" t="s">
        <v>12</v>
      </c>
      <c r="B7">
        <f>CORREL(B1:K1,B2:K2)</f>
        <v>0.52425510397259856</v>
      </c>
      <c r="C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A6CB-B240-43E2-A951-52A0FB2096D6}">
  <dimension ref="A1:Q34"/>
  <sheetViews>
    <sheetView tabSelected="1" workbookViewId="0">
      <selection activeCell="P17" sqref="P17"/>
    </sheetView>
  </sheetViews>
  <sheetFormatPr defaultRowHeight="15" x14ac:dyDescent="0.25"/>
  <cols>
    <col min="1" max="1" width="18.5703125" customWidth="1"/>
    <col min="2" max="4" width="12.28515625" bestFit="1" customWidth="1"/>
    <col min="5" max="5" width="13.7109375" customWidth="1"/>
    <col min="6" max="6" width="11.5703125" bestFit="1" customWidth="1"/>
    <col min="10" max="10" width="26" customWidth="1"/>
  </cols>
  <sheetData>
    <row r="1" spans="1:17" ht="15.75" thickBot="1" x14ac:dyDescent="0.3">
      <c r="A1" s="18"/>
      <c r="B1" s="21" t="s">
        <v>26</v>
      </c>
      <c r="C1" s="20" t="s">
        <v>14</v>
      </c>
      <c r="D1" s="20" t="s">
        <v>15</v>
      </c>
      <c r="E1" s="20" t="s">
        <v>16</v>
      </c>
      <c r="F1" s="20" t="s">
        <v>17</v>
      </c>
      <c r="G1" s="21" t="s">
        <v>18</v>
      </c>
      <c r="H1" s="20" t="s">
        <v>19</v>
      </c>
    </row>
    <row r="2" spans="1:17" ht="15" customHeight="1" x14ac:dyDescent="0.25">
      <c r="A2" s="18" t="s">
        <v>13</v>
      </c>
      <c r="B2" s="20"/>
      <c r="C2" s="20"/>
      <c r="D2" s="20"/>
      <c r="E2" s="20"/>
      <c r="F2" s="20"/>
      <c r="G2" s="20"/>
      <c r="H2" s="20"/>
      <c r="J2" s="11"/>
      <c r="K2" s="22" t="s">
        <v>26</v>
      </c>
      <c r="L2" s="22" t="s">
        <v>14</v>
      </c>
      <c r="M2" s="19" t="s">
        <v>15</v>
      </c>
      <c r="N2" s="19" t="s">
        <v>16</v>
      </c>
      <c r="O2" s="19" t="s">
        <v>17</v>
      </c>
      <c r="P2" s="19" t="s">
        <v>18</v>
      </c>
      <c r="Q2" s="19" t="s">
        <v>19</v>
      </c>
    </row>
    <row r="3" spans="1:17" x14ac:dyDescent="0.25">
      <c r="A3" s="18">
        <v>1</v>
      </c>
      <c r="B3" s="18">
        <v>4</v>
      </c>
      <c r="C3" s="18">
        <v>10</v>
      </c>
      <c r="D3" s="18">
        <v>3</v>
      </c>
      <c r="E3" s="18">
        <v>3</v>
      </c>
      <c r="F3" s="18">
        <v>18</v>
      </c>
      <c r="G3" s="18">
        <v>225</v>
      </c>
      <c r="H3" s="18">
        <v>6.2</v>
      </c>
      <c r="J3" s="12" t="s">
        <v>26</v>
      </c>
      <c r="K3" s="23">
        <v>1</v>
      </c>
    </row>
    <row r="4" spans="1:17" x14ac:dyDescent="0.25">
      <c r="A4" s="18">
        <v>2</v>
      </c>
      <c r="B4" s="18">
        <v>3</v>
      </c>
      <c r="C4" s="18">
        <v>6</v>
      </c>
      <c r="D4" s="18">
        <v>3</v>
      </c>
      <c r="E4" s="18">
        <v>11</v>
      </c>
      <c r="F4" s="18">
        <v>6</v>
      </c>
      <c r="G4" s="18">
        <v>220</v>
      </c>
      <c r="H4" s="18">
        <v>4.3</v>
      </c>
      <c r="J4" s="22" t="s">
        <v>14</v>
      </c>
      <c r="K4" s="12">
        <v>0.60228921761222154</v>
      </c>
      <c r="L4" s="12">
        <v>1</v>
      </c>
      <c r="M4" s="12"/>
      <c r="N4" s="12"/>
      <c r="O4" s="12"/>
      <c r="P4" s="12"/>
      <c r="Q4" s="12"/>
    </row>
    <row r="5" spans="1:17" x14ac:dyDescent="0.25">
      <c r="A5" s="18">
        <v>3</v>
      </c>
      <c r="B5" s="18">
        <v>3</v>
      </c>
      <c r="C5" s="18">
        <v>10</v>
      </c>
      <c r="D5" s="18">
        <v>3</v>
      </c>
      <c r="E5" s="18">
        <v>4</v>
      </c>
      <c r="F5" s="18">
        <v>0</v>
      </c>
      <c r="G5" s="18">
        <v>211</v>
      </c>
      <c r="H5" s="18">
        <v>5.3</v>
      </c>
      <c r="J5" s="19" t="s">
        <v>15</v>
      </c>
      <c r="K5" s="12">
        <v>0.22127359870473581</v>
      </c>
      <c r="L5" s="12">
        <v>0.41626428543859761</v>
      </c>
      <c r="M5" s="12">
        <v>1</v>
      </c>
      <c r="N5" s="12"/>
      <c r="O5" s="12"/>
      <c r="P5" s="12"/>
      <c r="Q5" s="12"/>
    </row>
    <row r="6" spans="1:17" x14ac:dyDescent="0.25">
      <c r="A6" s="18">
        <v>4</v>
      </c>
      <c r="B6" s="18">
        <v>5</v>
      </c>
      <c r="C6" s="18">
        <v>18</v>
      </c>
      <c r="D6" s="18">
        <v>3</v>
      </c>
      <c r="E6" s="18">
        <v>0</v>
      </c>
      <c r="F6" s="18">
        <v>3</v>
      </c>
      <c r="G6" s="18">
        <v>243</v>
      </c>
      <c r="H6" s="18">
        <v>5.2</v>
      </c>
      <c r="J6" s="19" t="s">
        <v>16</v>
      </c>
      <c r="K6" s="12">
        <v>-0.50380456173771582</v>
      </c>
      <c r="L6" s="12">
        <v>-0.40481093512104455</v>
      </c>
      <c r="M6" s="12">
        <v>-6.8745166525399595E-2</v>
      </c>
      <c r="N6" s="12">
        <v>1</v>
      </c>
      <c r="O6" s="12"/>
      <c r="P6" s="12"/>
      <c r="Q6" s="12"/>
    </row>
    <row r="7" spans="1:17" x14ac:dyDescent="0.25">
      <c r="A7" s="18">
        <v>5</v>
      </c>
      <c r="B7" s="18">
        <v>6</v>
      </c>
      <c r="C7" s="18">
        <v>26</v>
      </c>
      <c r="D7" s="18">
        <v>5</v>
      </c>
      <c r="E7" s="18">
        <v>1</v>
      </c>
      <c r="F7" s="18">
        <v>4</v>
      </c>
      <c r="G7" s="18">
        <v>322</v>
      </c>
      <c r="H7" s="18">
        <v>4.4000000000000004</v>
      </c>
      <c r="J7" s="19" t="s">
        <v>17</v>
      </c>
      <c r="K7" s="12">
        <v>0.21317147897991887</v>
      </c>
      <c r="L7" s="12">
        <v>-4.0195417061480929E-2</v>
      </c>
      <c r="M7" s="12">
        <v>-4.7358845301309099E-2</v>
      </c>
      <c r="N7" s="12">
        <v>0.22214669745308846</v>
      </c>
      <c r="O7" s="12">
        <v>1</v>
      </c>
      <c r="P7" s="12"/>
      <c r="Q7" s="12"/>
    </row>
    <row r="8" spans="1:17" ht="15" customHeight="1" x14ac:dyDescent="0.25">
      <c r="A8" s="18">
        <v>6</v>
      </c>
      <c r="B8" s="18">
        <v>4</v>
      </c>
      <c r="C8" s="18">
        <v>8</v>
      </c>
      <c r="D8" s="18">
        <v>3</v>
      </c>
      <c r="E8" s="18">
        <v>0</v>
      </c>
      <c r="F8" s="18">
        <v>4</v>
      </c>
      <c r="G8" s="18">
        <v>277</v>
      </c>
      <c r="H8" s="18">
        <v>4.3</v>
      </c>
      <c r="J8" s="19" t="s">
        <v>18</v>
      </c>
      <c r="K8" s="12">
        <v>0.85696220470945972</v>
      </c>
      <c r="L8" s="12">
        <v>0.52663256787300428</v>
      </c>
      <c r="M8" s="12">
        <v>0.14475229483152954</v>
      </c>
      <c r="N8" s="12">
        <v>-0.40364250449608441</v>
      </c>
      <c r="O8" s="12">
        <v>8.1398285608038592E-2</v>
      </c>
      <c r="P8" s="12">
        <v>1</v>
      </c>
      <c r="Q8" s="12"/>
    </row>
    <row r="9" spans="1:17" ht="15.75" thickBot="1" x14ac:dyDescent="0.3">
      <c r="A9" s="18">
        <v>7</v>
      </c>
      <c r="B9" s="18">
        <v>4</v>
      </c>
      <c r="C9" s="18">
        <v>21</v>
      </c>
      <c r="D9" s="18">
        <v>3</v>
      </c>
      <c r="E9" s="18">
        <v>0</v>
      </c>
      <c r="F9" s="18">
        <v>0</v>
      </c>
      <c r="G9" s="18">
        <v>300</v>
      </c>
      <c r="H9" s="18">
        <v>3.3</v>
      </c>
      <c r="J9" s="19" t="s">
        <v>19</v>
      </c>
      <c r="K9" s="13">
        <v>-0.36294382562792316</v>
      </c>
      <c r="L9" s="13">
        <v>-0.34270228312450907</v>
      </c>
      <c r="M9" s="13">
        <v>-0.14966734945711119</v>
      </c>
      <c r="N9" s="13">
        <v>2.4079652199474048E-2</v>
      </c>
      <c r="O9" s="13">
        <v>0.27831946713169242</v>
      </c>
      <c r="P9" s="13">
        <v>-0.64315358455505089</v>
      </c>
      <c r="Q9" s="13">
        <v>1</v>
      </c>
    </row>
    <row r="10" spans="1:17" x14ac:dyDescent="0.25">
      <c r="A10" s="18">
        <v>8</v>
      </c>
      <c r="B10" s="18">
        <v>3</v>
      </c>
      <c r="C10" s="18">
        <v>13</v>
      </c>
      <c r="D10" s="18">
        <v>4</v>
      </c>
      <c r="E10" s="18">
        <v>3</v>
      </c>
      <c r="F10" s="18">
        <v>4</v>
      </c>
      <c r="G10" s="18">
        <v>225</v>
      </c>
      <c r="H10" s="18">
        <v>4.2</v>
      </c>
    </row>
    <row r="11" spans="1:17" x14ac:dyDescent="0.25">
      <c r="A11" s="18">
        <v>9</v>
      </c>
      <c r="B11" s="18">
        <v>5</v>
      </c>
      <c r="C11" s="18">
        <v>8</v>
      </c>
      <c r="D11" s="18">
        <v>3</v>
      </c>
      <c r="E11" s="18">
        <v>0</v>
      </c>
      <c r="F11" s="18">
        <v>0</v>
      </c>
      <c r="G11" s="18">
        <v>327</v>
      </c>
      <c r="H11" s="18">
        <v>3.6</v>
      </c>
    </row>
    <row r="12" spans="1:17" x14ac:dyDescent="0.25">
      <c r="A12" s="18">
        <v>10</v>
      </c>
      <c r="B12" s="18">
        <v>3</v>
      </c>
      <c r="C12" s="18">
        <v>15</v>
      </c>
      <c r="D12" s="18">
        <v>3</v>
      </c>
      <c r="E12" s="18">
        <v>0</v>
      </c>
      <c r="F12" s="18">
        <v>0</v>
      </c>
      <c r="G12" s="18">
        <v>231</v>
      </c>
      <c r="H12" s="18">
        <v>5.4</v>
      </c>
    </row>
    <row r="13" spans="1:17" x14ac:dyDescent="0.25">
      <c r="A13" s="18">
        <v>11</v>
      </c>
      <c r="B13" s="18">
        <v>4</v>
      </c>
      <c r="C13" s="18">
        <v>11</v>
      </c>
      <c r="D13" s="18">
        <v>3</v>
      </c>
      <c r="E13" s="18">
        <v>3</v>
      </c>
      <c r="F13" s="18">
        <v>0</v>
      </c>
      <c r="G13" s="18">
        <v>272</v>
      </c>
      <c r="H13" s="18">
        <v>5.2</v>
      </c>
    </row>
    <row r="14" spans="1:17" x14ac:dyDescent="0.25">
      <c r="A14" s="18">
        <v>12</v>
      </c>
      <c r="B14" s="18">
        <v>6</v>
      </c>
      <c r="C14" s="18">
        <v>18</v>
      </c>
      <c r="D14" s="18">
        <v>3</v>
      </c>
      <c r="E14" s="18">
        <v>0</v>
      </c>
      <c r="F14" s="18">
        <v>12</v>
      </c>
      <c r="G14" s="18">
        <v>353</v>
      </c>
      <c r="H14" s="18">
        <v>5.3</v>
      </c>
    </row>
    <row r="15" spans="1:17" x14ac:dyDescent="0.25">
      <c r="A15" s="18">
        <v>13</v>
      </c>
      <c r="B15" s="18">
        <v>3</v>
      </c>
      <c r="C15" s="18">
        <v>8</v>
      </c>
      <c r="D15" s="18">
        <v>3</v>
      </c>
      <c r="E15" s="18">
        <v>2</v>
      </c>
      <c r="F15" s="18">
        <v>4</v>
      </c>
      <c r="G15" s="18">
        <v>199</v>
      </c>
      <c r="H15" s="18">
        <v>6.3</v>
      </c>
    </row>
    <row r="16" spans="1:17" x14ac:dyDescent="0.25">
      <c r="A16" s="18">
        <v>14</v>
      </c>
      <c r="B16" s="18">
        <v>3</v>
      </c>
      <c r="C16" s="18">
        <v>10</v>
      </c>
      <c r="D16" s="18">
        <v>4</v>
      </c>
      <c r="E16" s="18">
        <v>2</v>
      </c>
      <c r="F16" s="18">
        <v>0</v>
      </c>
      <c r="G16" s="18">
        <v>221</v>
      </c>
      <c r="H16" s="18">
        <v>5.2</v>
      </c>
    </row>
    <row r="17" spans="1:9" x14ac:dyDescent="0.25">
      <c r="A17" s="18">
        <v>15</v>
      </c>
      <c r="B17" s="18">
        <v>3</v>
      </c>
      <c r="C17" s="18">
        <v>8</v>
      </c>
      <c r="D17" s="18">
        <v>3</v>
      </c>
      <c r="E17" s="18">
        <v>3</v>
      </c>
      <c r="F17" s="18">
        <v>4</v>
      </c>
      <c r="G17" s="18">
        <v>202</v>
      </c>
      <c r="H17" s="18">
        <v>6.2</v>
      </c>
    </row>
    <row r="18" spans="1:9" x14ac:dyDescent="0.25">
      <c r="A18" s="18">
        <v>16</v>
      </c>
      <c r="B18" s="18">
        <v>2</v>
      </c>
      <c r="C18" s="18">
        <v>13</v>
      </c>
      <c r="D18" s="18">
        <v>3</v>
      </c>
      <c r="E18" s="18">
        <v>7</v>
      </c>
      <c r="F18" s="18">
        <v>5</v>
      </c>
      <c r="G18" s="18">
        <v>207</v>
      </c>
      <c r="H18" s="18">
        <v>5.3</v>
      </c>
    </row>
    <row r="19" spans="1:9" x14ac:dyDescent="0.25">
      <c r="A19" s="18">
        <v>17</v>
      </c>
      <c r="B19" s="18">
        <v>4</v>
      </c>
      <c r="C19" s="18">
        <v>18</v>
      </c>
      <c r="D19" s="18">
        <v>3</v>
      </c>
      <c r="E19" s="18">
        <v>0</v>
      </c>
      <c r="F19" s="18">
        <v>0</v>
      </c>
      <c r="G19" s="18">
        <v>218</v>
      </c>
      <c r="H19" s="18">
        <v>5.4</v>
      </c>
    </row>
    <row r="20" spans="1:9" x14ac:dyDescent="0.25">
      <c r="A20" s="18">
        <v>18</v>
      </c>
      <c r="B20" s="18">
        <v>3</v>
      </c>
      <c r="C20" s="18">
        <v>8</v>
      </c>
      <c r="D20" s="18">
        <v>3</v>
      </c>
      <c r="E20" s="18">
        <v>0</v>
      </c>
      <c r="F20" s="18">
        <v>0</v>
      </c>
      <c r="G20" s="18">
        <v>203</v>
      </c>
      <c r="H20" s="18">
        <v>6.2</v>
      </c>
    </row>
    <row r="21" spans="1:9" x14ac:dyDescent="0.25">
      <c r="A21" s="18">
        <v>19</v>
      </c>
      <c r="B21" s="18">
        <v>3</v>
      </c>
      <c r="C21" s="18">
        <v>10</v>
      </c>
      <c r="D21" s="18">
        <v>4</v>
      </c>
      <c r="E21" s="18">
        <v>2</v>
      </c>
      <c r="F21" s="18">
        <v>4</v>
      </c>
      <c r="G21" s="18">
        <v>196</v>
      </c>
      <c r="H21" s="18">
        <v>6.3</v>
      </c>
    </row>
    <row r="22" spans="1:9" x14ac:dyDescent="0.25">
      <c r="A22" s="18">
        <v>20</v>
      </c>
      <c r="B22" s="18">
        <v>3</v>
      </c>
      <c r="C22" s="18">
        <v>8</v>
      </c>
      <c r="D22" s="18">
        <v>3</v>
      </c>
      <c r="E22" s="18">
        <v>3</v>
      </c>
      <c r="F22" s="18">
        <v>5</v>
      </c>
      <c r="G22" s="18">
        <v>198</v>
      </c>
      <c r="H22" s="18">
        <v>6.1</v>
      </c>
    </row>
    <row r="23" spans="1:9" x14ac:dyDescent="0.25">
      <c r="A23" s="14"/>
      <c r="B23" s="14"/>
      <c r="C23" s="14"/>
      <c r="D23" s="14"/>
      <c r="E23" s="14"/>
      <c r="F23" s="14"/>
      <c r="G23" s="14"/>
      <c r="H23" s="14"/>
      <c r="I23" s="14"/>
    </row>
    <row r="24" spans="1:9" x14ac:dyDescent="0.25">
      <c r="A24" s="14"/>
      <c r="B24" s="14"/>
      <c r="C24" s="14"/>
      <c r="D24" s="14"/>
      <c r="E24" s="14"/>
      <c r="F24" s="14"/>
      <c r="G24" s="14"/>
      <c r="H24" s="14"/>
      <c r="I24" s="14"/>
    </row>
    <row r="25" spans="1:9" x14ac:dyDescent="0.25">
      <c r="A25" s="15"/>
      <c r="B25" s="15"/>
      <c r="C25" s="15"/>
      <c r="D25" s="15"/>
      <c r="E25" s="15"/>
      <c r="F25" s="15"/>
      <c r="G25" s="15"/>
      <c r="H25" s="15"/>
      <c r="I25" s="14"/>
    </row>
    <row r="26" spans="1:9" ht="75" x14ac:dyDescent="0.25">
      <c r="A26" s="16"/>
      <c r="B26" s="17" t="s">
        <v>26</v>
      </c>
      <c r="C26" s="16" t="s">
        <v>27</v>
      </c>
      <c r="D26" s="16" t="s">
        <v>15</v>
      </c>
      <c r="E26" s="16" t="s">
        <v>28</v>
      </c>
      <c r="F26" s="16" t="s">
        <v>29</v>
      </c>
      <c r="G26" s="12"/>
      <c r="H26" s="12"/>
      <c r="I26" s="14"/>
    </row>
    <row r="27" spans="1:9" x14ac:dyDescent="0.25">
      <c r="A27" s="16" t="s">
        <v>24</v>
      </c>
      <c r="B27" s="16">
        <f>CORREL(G3:G22,B3:B22)</f>
        <v>0.85696220470945972</v>
      </c>
      <c r="C27" s="16">
        <f>CORREL(G3:G22,C3:C22)</f>
        <v>0.52663256787300428</v>
      </c>
      <c r="D27" s="16">
        <f>CORREL(G3:G22,D3:D22)</f>
        <v>0.14475229483152954</v>
      </c>
      <c r="E27" s="16">
        <f>CORREL(G3:G22,E3:E22)</f>
        <v>-0.40364250449608441</v>
      </c>
      <c r="F27" s="16">
        <f>CORREL(G3:G22,F3:F22)</f>
        <v>8.1398285608038592E-2</v>
      </c>
      <c r="G27" s="12"/>
      <c r="H27" s="12"/>
      <c r="I27" s="14"/>
    </row>
    <row r="28" spans="1:9" x14ac:dyDescent="0.25">
      <c r="A28" s="16" t="s">
        <v>25</v>
      </c>
      <c r="B28" s="16">
        <f>CORREL(H3:H22,B3:B22)</f>
        <v>-0.36294382562792316</v>
      </c>
      <c r="C28" s="16">
        <f>CORREL(H3:H22,C3:C22)</f>
        <v>-0.34270228312450907</v>
      </c>
      <c r="D28" s="16">
        <f>CORREL(H3:H22,D3:D22)</f>
        <v>-0.14966734945711119</v>
      </c>
      <c r="E28" s="16">
        <f>CORREL(H3:H22,E3:E22)</f>
        <v>2.4079652199474048E-2</v>
      </c>
      <c r="F28" s="16">
        <f>CORREL(H3:H22,F3:F22)</f>
        <v>0.27831946713169242</v>
      </c>
      <c r="G28" s="12"/>
      <c r="H28" s="12"/>
      <c r="I28" s="14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4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4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4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</sheetData>
  <mergeCells count="7"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</vt:lpstr>
      <vt:lpstr>задание 2</vt:lpstr>
      <vt:lpstr>задание 3</vt:lpstr>
      <vt:lpstr>задание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Dembovetskiy Maksim</cp:lastModifiedBy>
  <dcterms:created xsi:type="dcterms:W3CDTF">2015-06-05T18:19:34Z</dcterms:created>
  <dcterms:modified xsi:type="dcterms:W3CDTF">2025-06-02T17:31:07Z</dcterms:modified>
</cp:coreProperties>
</file>