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MDem\Desktop\Методы машиного обучения\КР\"/>
    </mc:Choice>
  </mc:AlternateContent>
  <xr:revisionPtr revIDLastSave="0" documentId="13_ncr:1_{677121F3-0DF8-4A65-BFCD-BA99D1532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1" i="1" l="1"/>
  <c r="F231" i="1"/>
  <c r="F230" i="1"/>
  <c r="B230" i="1"/>
  <c r="D185" i="1"/>
  <c r="C185" i="1"/>
  <c r="B185" i="1"/>
  <c r="A185" i="1"/>
  <c r="I185" i="1"/>
  <c r="H185" i="1"/>
  <c r="G185" i="1"/>
  <c r="F185" i="1"/>
  <c r="I184" i="1"/>
  <c r="H184" i="1"/>
  <c r="G184" i="1"/>
  <c r="F184" i="1"/>
  <c r="H187" i="1" s="1"/>
  <c r="D184" i="1"/>
  <c r="C184" i="1"/>
  <c r="B184" i="1"/>
  <c r="A184" i="1"/>
  <c r="C187" i="1" s="1"/>
  <c r="K125" i="1"/>
  <c r="K124" i="1"/>
  <c r="K123" i="1"/>
  <c r="K122" i="1"/>
  <c r="K121" i="1"/>
  <c r="H125" i="1"/>
  <c r="H124" i="1"/>
  <c r="H123" i="1"/>
  <c r="H122" i="1"/>
  <c r="H121" i="1"/>
  <c r="D96" i="1"/>
  <c r="D95" i="1"/>
  <c r="D94" i="1"/>
  <c r="D93" i="1"/>
  <c r="D92" i="1"/>
</calcChain>
</file>

<file path=xl/sharedStrings.xml><?xml version="1.0" encoding="utf-8"?>
<sst xmlns="http://schemas.openxmlformats.org/spreadsheetml/2006/main" count="141" uniqueCount="76">
  <si>
    <t>Номер респондента</t>
  </si>
  <si>
    <t>пол</t>
  </si>
  <si>
    <t>Возраст</t>
  </si>
  <si>
    <t>Вопрос 7а</t>
  </si>
  <si>
    <t>Вопрос 7б</t>
  </si>
  <si>
    <t>Освежает дыхание</t>
  </si>
  <si>
    <t>Праздник для собаки</t>
  </si>
  <si>
    <t>Пять метров</t>
  </si>
  <si>
    <t>Собака на диване</t>
  </si>
  <si>
    <t>Вопрос 16</t>
  </si>
  <si>
    <t>Вопрос 17</t>
  </si>
  <si>
    <t>Пол</t>
  </si>
  <si>
    <t>Очищает зубы</t>
  </si>
  <si>
    <t>Преодолевает кариес</t>
  </si>
  <si>
    <t>Дополнительное питание</t>
  </si>
  <si>
    <t>Зубы, о которых можно мечтать</t>
  </si>
  <si>
    <t>Еще</t>
  </si>
  <si>
    <t>Частота</t>
  </si>
  <si>
    <t>М</t>
  </si>
  <si>
    <t>Ж</t>
  </si>
  <si>
    <t>Среднее</t>
  </si>
  <si>
    <t>Мода</t>
  </si>
  <si>
    <t>Медиана</t>
  </si>
  <si>
    <t>Ответ на Вопрос 1:</t>
  </si>
  <si>
    <r>
      <t>Распределение:</t>
    </r>
    <r>
      <rPr>
        <sz val="11"/>
        <color theme="1"/>
        <rFont val="Calibri"/>
        <family val="2"/>
        <charset val="204"/>
        <scheme val="minor"/>
      </rPr>
      <t xml:space="preserve"> 23 мужчин, 27 женщин.</t>
    </r>
  </si>
  <si>
    <r>
      <t>Мера центральной тенденции:</t>
    </r>
    <r>
      <rPr>
        <sz val="11"/>
        <color theme="1"/>
        <rFont val="Calibri"/>
        <family val="2"/>
        <charset val="204"/>
        <scheme val="minor"/>
      </rPr>
      <t xml:space="preserve"> наиболее подходящей является </t>
    </r>
    <r>
      <rPr>
        <b/>
        <sz val="11"/>
        <color theme="1"/>
        <rFont val="Calibri"/>
        <family val="2"/>
        <charset val="204"/>
        <scheme val="minor"/>
      </rPr>
      <t>мода</t>
    </r>
    <r>
      <rPr>
        <sz val="11"/>
        <color theme="1"/>
        <rFont val="Calibri"/>
        <family val="2"/>
        <charset val="204"/>
        <scheme val="minor"/>
      </rPr>
      <t xml:space="preserve"> в данном случае — "Ж".</t>
    </r>
  </si>
  <si>
    <r>
      <t>Дисперсию и стандартное отклонение</t>
    </r>
    <r>
      <rPr>
        <sz val="11"/>
        <color theme="1"/>
        <rFont val="Calibri"/>
        <family val="2"/>
        <charset val="204"/>
        <scheme val="minor"/>
      </rPr>
      <t xml:space="preserve"> рассчитывать </t>
    </r>
    <r>
      <rPr>
        <b/>
        <sz val="11"/>
        <color theme="1"/>
        <rFont val="Calibri"/>
        <family val="2"/>
        <charset val="204"/>
        <scheme val="minor"/>
      </rPr>
      <t>не следует</t>
    </r>
    <r>
      <rPr>
        <sz val="11"/>
        <color theme="1"/>
        <rFont val="Calibri"/>
        <family val="2"/>
        <charset val="204"/>
        <scheme val="minor"/>
      </rPr>
      <t>, так как это неприменимо к номинальным данным.</t>
    </r>
  </si>
  <si>
    <r>
      <t>Вывод:</t>
    </r>
    <r>
      <rPr>
        <sz val="11"/>
        <color theme="1"/>
        <rFont val="Calibri"/>
        <family val="2"/>
        <charset val="204"/>
        <scheme val="minor"/>
      </rPr>
      <t xml:space="preserve"> выборка сбалансирована по половому признаку, что полезно для дальнейшего анализа без перекоса.</t>
    </r>
  </si>
  <si>
    <t>Ответ на Вопрос 2:</t>
  </si>
  <si>
    <r>
      <t>Уровень измерения:</t>
    </r>
    <r>
      <rPr>
        <sz val="11"/>
        <color theme="1"/>
        <rFont val="Calibri"/>
        <family val="2"/>
        <charset val="204"/>
        <scheme val="minor"/>
      </rPr>
      <t xml:space="preserve"> интервальный</t>
    </r>
  </si>
  <si>
    <r>
      <t>Наиболее подходящая мера: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среднее значение</t>
    </r>
    <r>
      <rPr>
        <sz val="11"/>
        <color theme="1"/>
        <rFont val="Calibri"/>
        <family val="2"/>
        <scheme val="minor"/>
      </rPr>
      <t>, так как данные количественные и приблизительно симметрично распределены.</t>
    </r>
  </si>
  <si>
    <t>Дисперсия</t>
  </si>
  <si>
    <t>стандрт.откл.</t>
  </si>
  <si>
    <r>
      <t>Вывод:</t>
    </r>
    <r>
      <rPr>
        <sz val="11"/>
        <color theme="1"/>
        <rFont val="Calibri"/>
        <family val="2"/>
        <scheme val="minor"/>
      </rPr>
      <t xml:space="preserve"> выборка охватывает взрослых респондентов с умеренным разбросом по возрасту.</t>
    </r>
  </si>
  <si>
    <t>Вопрос 7</t>
  </si>
  <si>
    <t>7б</t>
  </si>
  <si>
    <t>доверие</t>
  </si>
  <si>
    <t>привликательность</t>
  </si>
  <si>
    <t>7а</t>
  </si>
  <si>
    <r>
      <t>Стоит ли вычислять дисперсию и стандартное отклонение:</t>
    </r>
    <r>
      <rPr>
        <sz val="11"/>
        <color theme="1"/>
        <rFont val="Calibri"/>
        <family val="2"/>
        <scheme val="minor"/>
      </rPr>
      <t xml:space="preserve"> Да</t>
    </r>
  </si>
  <si>
    <t>Меры центральной тенденции:</t>
  </si>
  <si>
    <r>
      <t xml:space="preserve">Подходящие меры: </t>
    </r>
    <r>
      <rPr>
        <b/>
        <sz val="11"/>
        <color theme="1"/>
        <rFont val="Calibri"/>
        <family val="2"/>
        <scheme val="minor"/>
      </rPr>
      <t>мода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медиана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среднее</t>
    </r>
    <r>
      <rPr>
        <sz val="11"/>
        <color theme="1"/>
        <rFont val="Calibri"/>
        <family val="2"/>
        <scheme val="minor"/>
      </rPr>
      <t xml:space="preserve"> (если распределение не сильно искажено).</t>
    </r>
  </si>
  <si>
    <r>
      <t>Наиболее приемлемая мера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медиана</t>
    </r>
    <r>
      <rPr>
        <sz val="11"/>
        <color theme="1"/>
        <rFont val="Calibri"/>
        <family val="2"/>
        <scheme val="minor"/>
      </rPr>
      <t>, так как она устойчива к выбросам и искажениям.</t>
    </r>
  </si>
  <si>
    <t>-</t>
  </si>
  <si>
    <t>возраст</t>
  </si>
  <si>
    <t>Вопрос 9</t>
  </si>
  <si>
    <t>Анализ:</t>
  </si>
  <si>
    <r>
      <t xml:space="preserve">Рассчитываются </t>
    </r>
    <r>
      <rPr>
        <b/>
        <sz val="11"/>
        <color theme="1"/>
        <rFont val="Calibri"/>
        <family val="2"/>
        <scheme val="minor"/>
      </rPr>
      <t>средние значения</t>
    </r>
    <r>
      <rPr>
        <sz val="11"/>
        <color theme="1"/>
        <rFont val="Calibri"/>
        <family val="2"/>
        <scheme val="minor"/>
      </rPr>
      <t xml:space="preserve"> для каждого из преимуществ.</t>
    </r>
  </si>
  <si>
    <t>Наибольшее среднее значение — преимущество, которое стоит подчеркнуть в рекламе.</t>
  </si>
  <si>
    <t>Привлекательность</t>
  </si>
  <si>
    <t>Наиболее привликательно:</t>
  </si>
  <si>
    <t>среднее</t>
  </si>
  <si>
    <t>Вопрос 13</t>
  </si>
  <si>
    <r>
      <t>Уровень измерения:</t>
    </r>
    <r>
      <rPr>
        <sz val="11"/>
        <color theme="1"/>
        <rFont val="Calibri"/>
        <family val="2"/>
        <scheme val="minor"/>
      </rPr>
      <t xml:space="preserve"> отношный</t>
    </r>
  </si>
  <si>
    <t>Вопросы 16 и 17</t>
  </si>
  <si>
    <t>вопрос 16</t>
  </si>
  <si>
    <t>вопрос 17</t>
  </si>
  <si>
    <t>медиана</t>
  </si>
  <si>
    <t xml:space="preserve">По мнению покупателей, вероятность того, что они купили бы собачьи бисквиты </t>
  </si>
  <si>
    <t>если бы их цена была сопостаима с ценой ведущей торговой марки</t>
  </si>
  <si>
    <t xml:space="preserve"> довольно низка следовательно нужно предерживаться ценовой политики </t>
  </si>
  <si>
    <t>как у фирменных магазинов, торгующими собачьими бисквитами</t>
  </si>
  <si>
    <r>
      <t>Рекомендация:</t>
    </r>
    <r>
      <rPr>
        <sz val="11"/>
        <color theme="1"/>
        <rFont val="Calibri"/>
        <family val="2"/>
        <scheme val="minor"/>
      </rPr>
      <t xml:space="preserve"> выбрать ту ценовую стратегию, при которой средняя оценка намерения купить </t>
    </r>
    <r>
      <rPr>
        <b/>
        <sz val="11"/>
        <color theme="1"/>
        <rFont val="Calibri"/>
        <family val="2"/>
        <scheme val="minor"/>
      </rPr>
      <t>ниже</t>
    </r>
    <r>
      <rPr>
        <sz val="11"/>
        <color theme="1"/>
        <rFont val="Calibri"/>
        <family val="2"/>
        <scheme val="minor"/>
      </rPr>
      <t>.</t>
    </r>
  </si>
  <si>
    <t>Дисперсию и стандартное отклонение рассчитывать следует.</t>
  </si>
  <si>
    <t>Исходя из средних значений ответов на 7 вопрос,</t>
  </si>
  <si>
    <t xml:space="preserve"> покупатели больше склоняются к ответу "б". </t>
  </si>
  <si>
    <t xml:space="preserve">Исходя из коэффициента корреляции, пол и возраст респондентов </t>
  </si>
  <si>
    <t>не влияет на степень доверия и привлекательности к товару.</t>
  </si>
  <si>
    <t>Преимущество</t>
  </si>
  <si>
    <t>Наибольшее преимущество :</t>
  </si>
  <si>
    <t>Исходя из среднего значения ответов респондентов, компании следует особо</t>
  </si>
  <si>
    <t xml:space="preserve"> подчеркнуть "Дополнительое питание" при проведении новой рекламной компании. </t>
  </si>
  <si>
    <t xml:space="preserve">Исходя из среднего значения ответов респондентов, рекламный ролик </t>
  </si>
  <si>
    <t xml:space="preserve">Зубы, о которых стоит мечтать, есть все сонования полагать, </t>
  </si>
  <si>
    <t>что целевой аудитории тоже понравится этот ролик.</t>
  </si>
  <si>
    <t>Так же имеет смысл подчеркнуть "Очищает зубы".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</si>
</sst>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7" xfId="0" applyFill="1" applyBorder="1" applyAlignment="1"/>
    <xf numFmtId="0" fontId="6" fillId="0" borderId="8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9" xfId="0" applyBorder="1"/>
    <xf numFmtId="0" fontId="0" fillId="0" borderId="1" xfId="0" applyBorder="1"/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0" xfId="0" applyFill="1"/>
    <xf numFmtId="0" fontId="0" fillId="0" borderId="0" xfId="0" applyAlignment="1"/>
    <xf numFmtId="0" fontId="4" fillId="3" borderId="0" xfId="2"/>
    <xf numFmtId="0" fontId="3" fillId="2" borderId="0" xfId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0" fillId="0" borderId="7" xfId="0" applyBorder="1" applyAlignment="1">
      <alignment horizontal="center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Лист1!$B$71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Лист1!$A$72:$A$73</c:f>
              <c:strCache>
                <c:ptCount val="2"/>
                <c:pt idx="0">
                  <c:v>М</c:v>
                </c:pt>
                <c:pt idx="1">
                  <c:v>Ж</c:v>
                </c:pt>
              </c:strCache>
            </c:strRef>
          </c:cat>
          <c:val>
            <c:numRef>
              <c:f>Лист1!$B$72:$B$73</c:f>
              <c:numCache>
                <c:formatCode>General</c:formatCode>
                <c:ptCount val="2"/>
                <c:pt idx="0">
                  <c:v>23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E-4EDC-85CD-EB617797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564911"/>
        <c:axId val="836574063"/>
      </c:barChart>
      <c:catAx>
        <c:axId val="8365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4063"/>
        <c:crosses val="autoZero"/>
        <c:auto val="1"/>
        <c:lblAlgn val="ctr"/>
        <c:lblOffset val="100"/>
        <c:noMultiLvlLbl val="0"/>
      </c:catAx>
      <c:valAx>
        <c:axId val="8365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Лист1!$B$92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Лист1!$A$93:$A$100</c:f>
              <c:strCache>
                <c:ptCount val="8"/>
                <c:pt idx="0">
                  <c:v>17</c:v>
                </c:pt>
                <c:pt idx="1">
                  <c:v>23</c:v>
                </c:pt>
                <c:pt idx="2">
                  <c:v>29</c:v>
                </c:pt>
                <c:pt idx="3">
                  <c:v>35</c:v>
                </c:pt>
                <c:pt idx="4">
                  <c:v>41</c:v>
                </c:pt>
                <c:pt idx="5">
                  <c:v>47</c:v>
                </c:pt>
                <c:pt idx="6">
                  <c:v>53</c:v>
                </c:pt>
                <c:pt idx="7">
                  <c:v>Еще</c:v>
                </c:pt>
              </c:strCache>
            </c:strRef>
          </c:cat>
          <c:val>
            <c:numRef>
              <c:f>Лист1!$B$93:$B$100</c:f>
              <c:numCache>
                <c:formatCode>General</c:formatCode>
                <c:ptCount val="8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8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0-4C2C-9952-3D37A736B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569487"/>
        <c:axId val="836569903"/>
      </c:barChart>
      <c:catAx>
        <c:axId val="8365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9903"/>
        <c:crosses val="autoZero"/>
        <c:auto val="1"/>
        <c:lblAlgn val="ctr"/>
        <c:lblOffset val="100"/>
        <c:noMultiLvlLbl val="0"/>
      </c:catAx>
      <c:valAx>
        <c:axId val="8365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Лист1!$B$92</c:f>
              <c:strCache>
                <c:ptCount val="1"/>
                <c:pt idx="0">
                  <c:v>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1"/>
            <c:dispEq val="1"/>
            <c:trendlineLbl>
              <c:layout>
                <c:manualLayout>
                  <c:x val="0.10298447069116355"/>
                  <c:y val="-0.48989173228346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Лист1!$A$93:$A$100</c:f>
              <c:strCache>
                <c:ptCount val="8"/>
                <c:pt idx="0">
                  <c:v>17</c:v>
                </c:pt>
                <c:pt idx="1">
                  <c:v>23</c:v>
                </c:pt>
                <c:pt idx="2">
                  <c:v>29</c:v>
                </c:pt>
                <c:pt idx="3">
                  <c:v>35</c:v>
                </c:pt>
                <c:pt idx="4">
                  <c:v>41</c:v>
                </c:pt>
                <c:pt idx="5">
                  <c:v>47</c:v>
                </c:pt>
                <c:pt idx="6">
                  <c:v>53</c:v>
                </c:pt>
                <c:pt idx="7">
                  <c:v>Еще</c:v>
                </c:pt>
              </c:strCache>
            </c:strRef>
          </c:cat>
          <c:val>
            <c:numRef>
              <c:f>Лист1!$B$93:$B$100</c:f>
              <c:numCache>
                <c:formatCode>General</c:formatCode>
                <c:ptCount val="8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8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3-4518-940A-4DA00C19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574479"/>
        <c:axId val="836560751"/>
      </c:lineChart>
      <c:catAx>
        <c:axId val="83657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0751"/>
        <c:crosses val="autoZero"/>
        <c:auto val="1"/>
        <c:lblAlgn val="ctr"/>
        <c:lblOffset val="100"/>
        <c:noMultiLvlLbl val="0"/>
      </c:catAx>
      <c:valAx>
        <c:axId val="83656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Лист1!$B$121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Лист1!$A$122:$A$129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Лист1!$B$122:$B$129</c:f>
              <c:numCache>
                <c:formatCode>General</c:formatCode>
                <c:ptCount val="8"/>
                <c:pt idx="0">
                  <c:v>13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C-48A7-848B-1808A184A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576559"/>
        <c:axId val="836576975"/>
      </c:barChart>
      <c:catAx>
        <c:axId val="8365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6975"/>
        <c:crosses val="autoZero"/>
        <c:auto val="1"/>
        <c:lblAlgn val="ctr"/>
        <c:lblOffset val="100"/>
        <c:noMultiLvlLbl val="0"/>
      </c:catAx>
      <c:valAx>
        <c:axId val="8365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Лист1!$E$121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Лист1!$D$122:$D$129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Лист1!$E$122:$E$129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3-47D0-A572-11F54AAA1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810879"/>
        <c:axId val="634813375"/>
      </c:barChart>
      <c:catAx>
        <c:axId val="6348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4813375"/>
        <c:crosses val="autoZero"/>
        <c:auto val="1"/>
        <c:lblAlgn val="ctr"/>
        <c:lblOffset val="100"/>
        <c:noMultiLvlLbl val="0"/>
      </c:catAx>
      <c:valAx>
        <c:axId val="6348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481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Лист1!$B$121</c:f>
              <c:strCache>
                <c:ptCount val="1"/>
                <c:pt idx="0">
                  <c:v>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Лист1!$A$122:$A$129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Лист1!$B$122:$B$129</c:f>
              <c:numCache>
                <c:formatCode>General</c:formatCode>
                <c:ptCount val="8"/>
                <c:pt idx="0">
                  <c:v>13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9-46B6-B7BD-77A6A5E42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332815"/>
        <c:axId val="857324079"/>
      </c:lineChart>
      <c:catAx>
        <c:axId val="85733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24079"/>
        <c:crosses val="autoZero"/>
        <c:auto val="1"/>
        <c:lblAlgn val="ctr"/>
        <c:lblOffset val="100"/>
        <c:noMultiLvlLbl val="0"/>
      </c:catAx>
      <c:valAx>
        <c:axId val="8573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3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Лист1!$E$121</c:f>
              <c:strCache>
                <c:ptCount val="1"/>
                <c:pt idx="0">
                  <c:v>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Лист1!$D$122:$D$129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Лист1!$E$122:$E$129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E-472B-B182-2172E0274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351535"/>
        <c:axId val="857352367"/>
      </c:lineChart>
      <c:catAx>
        <c:axId val="8573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52367"/>
        <c:crosses val="autoZero"/>
        <c:auto val="1"/>
        <c:lblAlgn val="ctr"/>
        <c:lblOffset val="100"/>
        <c:noMultiLvlLbl val="0"/>
      </c:catAx>
      <c:valAx>
        <c:axId val="8573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5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Преимущество 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Лист1!$A$182:$D$183</c15:sqref>
                  </c15:fullRef>
                  <c15:levelRef>
                    <c15:sqref>Лист1!$A$183:$D$183</c15:sqref>
                  </c15:levelRef>
                </c:ext>
              </c:extLst>
              <c:f>Лист1!$A$183:$D$183</c:f>
              <c:strCache>
                <c:ptCount val="4"/>
                <c:pt idx="0">
                  <c:v>Очищает зубы</c:v>
                </c:pt>
                <c:pt idx="1">
                  <c:v>Преодолевает кариес</c:v>
                </c:pt>
                <c:pt idx="2">
                  <c:v>Освежает дыхание</c:v>
                </c:pt>
                <c:pt idx="3">
                  <c:v>Дополнительное питание</c:v>
                </c:pt>
              </c:strCache>
            </c:strRef>
          </c:cat>
          <c:val>
            <c:numRef>
              <c:f>Лист1!$A$184:$D$184</c:f>
              <c:numCache>
                <c:formatCode>General</c:formatCode>
                <c:ptCount val="4"/>
                <c:pt idx="0">
                  <c:v>28.3</c:v>
                </c:pt>
                <c:pt idx="1">
                  <c:v>23.04</c:v>
                </c:pt>
                <c:pt idx="2">
                  <c:v>17</c:v>
                </c:pt>
                <c:pt idx="3">
                  <c:v>31.42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9-4F68-944F-9E169AC37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298287"/>
        <c:axId val="857321167"/>
      </c:barChart>
      <c:catAx>
        <c:axId val="8572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21167"/>
        <c:crosses val="autoZero"/>
        <c:auto val="1"/>
        <c:lblAlgn val="ctr"/>
        <c:lblOffset val="100"/>
        <c:noMultiLvlLbl val="0"/>
      </c:catAx>
      <c:valAx>
        <c:axId val="8573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29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Привлекательность 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Лист1!$F$182:$I$183</c15:sqref>
                  </c15:fullRef>
                  <c15:levelRef>
                    <c15:sqref>Лист1!$F$183:$I$183</c15:sqref>
                  </c15:levelRef>
                </c:ext>
              </c:extLst>
              <c:f>Лист1!$F$183:$I$183</c:f>
              <c:strCache>
                <c:ptCount val="4"/>
                <c:pt idx="0">
                  <c:v>Праздник для собаки</c:v>
                </c:pt>
                <c:pt idx="1">
                  <c:v>Пять метров</c:v>
                </c:pt>
                <c:pt idx="2">
                  <c:v>Собака на диване</c:v>
                </c:pt>
                <c:pt idx="3">
                  <c:v>Зубы, о которых можно мечтать</c:v>
                </c:pt>
              </c:strCache>
            </c:strRef>
          </c:cat>
          <c:val>
            <c:numRef>
              <c:f>Лист1!$F$184:$I$184</c:f>
              <c:numCache>
                <c:formatCode>General</c:formatCode>
                <c:ptCount val="4"/>
                <c:pt idx="0">
                  <c:v>1.52</c:v>
                </c:pt>
                <c:pt idx="1">
                  <c:v>1.84</c:v>
                </c:pt>
                <c:pt idx="2">
                  <c:v>3</c:v>
                </c:pt>
                <c:pt idx="3">
                  <c:v>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E-4CB5-80F6-6A6B4778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32399"/>
        <c:axId val="857349871"/>
      </c:barChart>
      <c:catAx>
        <c:axId val="8573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49871"/>
        <c:crosses val="autoZero"/>
        <c:auto val="1"/>
        <c:lblAlgn val="ctr"/>
        <c:lblOffset val="100"/>
        <c:noMultiLvlLbl val="0"/>
      </c:catAx>
      <c:valAx>
        <c:axId val="8573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3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Преимущество медиана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Лист1!$A$183:$D$183</c:f>
              <c:strCache>
                <c:ptCount val="4"/>
                <c:pt idx="0">
                  <c:v>Очищает зубы</c:v>
                </c:pt>
                <c:pt idx="1">
                  <c:v>Преодолевает кариес</c:v>
                </c:pt>
                <c:pt idx="2">
                  <c:v>Освежает дыхание</c:v>
                </c:pt>
                <c:pt idx="3">
                  <c:v>Дополнительное питание</c:v>
                </c:pt>
              </c:strCache>
            </c:strRef>
          </c:cat>
          <c:val>
            <c:numRef>
              <c:f>Лист1!$A$185:$D$185</c:f>
              <c:numCache>
                <c:formatCode>General</c:formatCode>
                <c:ptCount val="4"/>
                <c:pt idx="0">
                  <c:v>34</c:v>
                </c:pt>
                <c:pt idx="1">
                  <c:v>30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4-4DF0-BAE4-BE7738AAE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998095"/>
        <c:axId val="1030996015"/>
      </c:barChart>
      <c:catAx>
        <c:axId val="10309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996015"/>
        <c:crosses val="autoZero"/>
        <c:auto val="1"/>
        <c:lblAlgn val="ctr"/>
        <c:lblOffset val="100"/>
        <c:noMultiLvlLbl val="0"/>
      </c:catAx>
      <c:valAx>
        <c:axId val="103099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99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Привлекательность медиана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Лист1!$F$183:$I$183</c:f>
              <c:strCache>
                <c:ptCount val="4"/>
                <c:pt idx="0">
                  <c:v>Праздник для собаки</c:v>
                </c:pt>
                <c:pt idx="1">
                  <c:v>Пять метров</c:v>
                </c:pt>
                <c:pt idx="2">
                  <c:v>Собака на диване</c:v>
                </c:pt>
                <c:pt idx="3">
                  <c:v>Зубы, о которых можно мечтать</c:v>
                </c:pt>
              </c:strCache>
            </c:strRef>
          </c:cat>
          <c:val>
            <c:numRef>
              <c:f>Лист1!$F$185:$I$185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B-4F1C-A0AE-7A1A3693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26159"/>
        <c:axId val="857330735"/>
      </c:barChart>
      <c:catAx>
        <c:axId val="8573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30735"/>
        <c:crosses val="autoZero"/>
        <c:auto val="1"/>
        <c:lblAlgn val="ctr"/>
        <c:lblOffset val="100"/>
        <c:noMultiLvlLbl val="0"/>
      </c:catAx>
      <c:valAx>
        <c:axId val="8573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2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74</xdr:row>
      <xdr:rowOff>176212</xdr:rowOff>
    </xdr:from>
    <xdr:to>
      <xdr:col>4</xdr:col>
      <xdr:colOff>723900</xdr:colOff>
      <xdr:row>89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A3DD50-200B-490E-8550-574ED200E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100</xdr:row>
      <xdr:rowOff>100012</xdr:rowOff>
    </xdr:from>
    <xdr:to>
      <xdr:col>4</xdr:col>
      <xdr:colOff>647700</xdr:colOff>
      <xdr:row>114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7A275B4-46F1-4883-9E41-6A80F14D0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704850</xdr:colOff>
      <xdr:row>99</xdr:row>
      <xdr:rowOff>195262</xdr:rowOff>
    </xdr:from>
    <xdr:to>
      <xdr:col>9</xdr:col>
      <xdr:colOff>371475</xdr:colOff>
      <xdr:row>114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2A3839-76BA-48C5-AD5F-594977BA7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130</xdr:row>
      <xdr:rowOff>90487</xdr:rowOff>
    </xdr:from>
    <xdr:to>
      <xdr:col>4</xdr:col>
      <xdr:colOff>647700</xdr:colOff>
      <xdr:row>144</xdr:row>
      <xdr:rowOff>166687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38AF19A-4052-4DA9-AC91-E4B12DCEE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838200</xdr:colOff>
      <xdr:row>130</xdr:row>
      <xdr:rowOff>61912</xdr:rowOff>
    </xdr:from>
    <xdr:to>
      <xdr:col>9</xdr:col>
      <xdr:colOff>504825</xdr:colOff>
      <xdr:row>144</xdr:row>
      <xdr:rowOff>138112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74EF380-17A3-4515-8BF5-E93AEAF1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151</xdr:row>
      <xdr:rowOff>42862</xdr:rowOff>
    </xdr:from>
    <xdr:to>
      <xdr:col>4</xdr:col>
      <xdr:colOff>647700</xdr:colOff>
      <xdr:row>165</xdr:row>
      <xdr:rowOff>119062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2DE7E8B-C05E-4335-B47F-FF3AE5318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733425</xdr:colOff>
      <xdr:row>151</xdr:row>
      <xdr:rowOff>61912</xdr:rowOff>
    </xdr:from>
    <xdr:to>
      <xdr:col>9</xdr:col>
      <xdr:colOff>400050</xdr:colOff>
      <xdr:row>165</xdr:row>
      <xdr:rowOff>138112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55789EB-2072-4AC5-8A9E-C44554A9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19050</xdr:colOff>
      <xdr:row>194</xdr:row>
      <xdr:rowOff>33337</xdr:rowOff>
    </xdr:from>
    <xdr:to>
      <xdr:col>4</xdr:col>
      <xdr:colOff>666750</xdr:colOff>
      <xdr:row>208</xdr:row>
      <xdr:rowOff>109537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49A410B-C15D-4912-BE97-D66A23905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695325</xdr:colOff>
      <xdr:row>194</xdr:row>
      <xdr:rowOff>71437</xdr:rowOff>
    </xdr:from>
    <xdr:to>
      <xdr:col>9</xdr:col>
      <xdr:colOff>361950</xdr:colOff>
      <xdr:row>208</xdr:row>
      <xdr:rowOff>147637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3E4D1B4-A2C4-47D3-BF2D-A62D55F0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208</xdr:row>
      <xdr:rowOff>119062</xdr:rowOff>
    </xdr:from>
    <xdr:to>
      <xdr:col>4</xdr:col>
      <xdr:colOff>647700</xdr:colOff>
      <xdr:row>223</xdr:row>
      <xdr:rowOff>4762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A1161221-DACE-4797-85D0-F71E0971B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666750</xdr:colOff>
      <xdr:row>208</xdr:row>
      <xdr:rowOff>138112</xdr:rowOff>
    </xdr:from>
    <xdr:to>
      <xdr:col>9</xdr:col>
      <xdr:colOff>333375</xdr:colOff>
      <xdr:row>223</xdr:row>
      <xdr:rowOff>23812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B0CF72C9-8C3E-4B40-AC2B-0954AF60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"/>
  <sheetViews>
    <sheetView tabSelected="1" topLeftCell="A25" workbookViewId="0">
      <selection activeCell="K193" sqref="K193"/>
    </sheetView>
  </sheetViews>
  <sheetFormatPr defaultRowHeight="15" x14ac:dyDescent="0.25"/>
  <cols>
    <col min="1" max="15" width="14.7109375" customWidth="1"/>
  </cols>
  <sheetData>
    <row r="1" spans="1:15" ht="60.75" thickBot="1" x14ac:dyDescent="0.3">
      <c r="A1" s="3" t="s">
        <v>0</v>
      </c>
      <c r="B1" s="4" t="s">
        <v>11</v>
      </c>
      <c r="C1" s="4" t="s">
        <v>2</v>
      </c>
      <c r="D1" s="4" t="s">
        <v>3</v>
      </c>
      <c r="E1" s="4" t="s">
        <v>4</v>
      </c>
      <c r="F1" s="4" t="s">
        <v>12</v>
      </c>
      <c r="G1" s="4" t="s">
        <v>13</v>
      </c>
      <c r="H1" s="4" t="s">
        <v>5</v>
      </c>
      <c r="I1" s="4" t="s">
        <v>14</v>
      </c>
      <c r="J1" s="4" t="s">
        <v>6</v>
      </c>
      <c r="K1" s="4" t="s">
        <v>7</v>
      </c>
      <c r="L1" s="4" t="s">
        <v>8</v>
      </c>
      <c r="M1" s="4" t="s">
        <v>15</v>
      </c>
      <c r="N1" s="4" t="s">
        <v>9</v>
      </c>
      <c r="O1" s="6" t="s">
        <v>10</v>
      </c>
    </row>
    <row r="2" spans="1:15" x14ac:dyDescent="0.25">
      <c r="A2" s="5">
        <v>1</v>
      </c>
      <c r="B2" s="5">
        <v>1</v>
      </c>
      <c r="C2" s="5">
        <v>20</v>
      </c>
      <c r="D2" s="5">
        <v>1</v>
      </c>
      <c r="E2" s="5">
        <v>1</v>
      </c>
      <c r="F2" s="5">
        <v>30</v>
      </c>
      <c r="G2" s="5">
        <v>30</v>
      </c>
      <c r="H2" s="5">
        <v>30</v>
      </c>
      <c r="I2" s="5">
        <v>10</v>
      </c>
      <c r="J2" s="5">
        <v>1</v>
      </c>
      <c r="K2" s="5">
        <v>2</v>
      </c>
      <c r="L2" s="5">
        <v>3</v>
      </c>
      <c r="M2" s="5">
        <v>4</v>
      </c>
      <c r="N2" s="5">
        <v>5</v>
      </c>
      <c r="O2" s="5">
        <v>1</v>
      </c>
    </row>
    <row r="3" spans="1:15" x14ac:dyDescent="0.25">
      <c r="A3" s="2">
        <v>2</v>
      </c>
      <c r="B3" s="2">
        <v>2</v>
      </c>
      <c r="C3" s="2">
        <v>24</v>
      </c>
      <c r="D3" s="2">
        <v>2</v>
      </c>
      <c r="E3" s="2">
        <v>2</v>
      </c>
      <c r="F3" s="2">
        <v>34</v>
      </c>
      <c r="G3" s="2">
        <v>33</v>
      </c>
      <c r="H3" s="2">
        <v>27</v>
      </c>
      <c r="I3" s="2">
        <v>6</v>
      </c>
      <c r="J3" s="2">
        <v>1</v>
      </c>
      <c r="K3" s="2">
        <v>3</v>
      </c>
      <c r="L3" s="2">
        <v>4</v>
      </c>
      <c r="M3" s="2">
        <v>2</v>
      </c>
      <c r="N3" s="2">
        <v>4</v>
      </c>
      <c r="O3" s="2">
        <v>2</v>
      </c>
    </row>
    <row r="4" spans="1:15" x14ac:dyDescent="0.25">
      <c r="A4" s="2">
        <v>3</v>
      </c>
      <c r="B4" s="2">
        <v>1</v>
      </c>
      <c r="C4" s="2">
        <v>23</v>
      </c>
      <c r="D4" s="2">
        <v>1</v>
      </c>
      <c r="E4" s="2">
        <v>5</v>
      </c>
      <c r="F4" s="2">
        <v>50</v>
      </c>
      <c r="G4" s="2">
        <v>25</v>
      </c>
      <c r="H4" s="2">
        <v>15</v>
      </c>
      <c r="I4" s="2">
        <v>10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3</v>
      </c>
    </row>
    <row r="5" spans="1:15" x14ac:dyDescent="0.25">
      <c r="A5" s="2">
        <v>4</v>
      </c>
      <c r="B5" s="2">
        <v>2</v>
      </c>
      <c r="C5" s="2">
        <v>41</v>
      </c>
      <c r="D5" s="2">
        <v>3</v>
      </c>
      <c r="E5" s="2">
        <v>4</v>
      </c>
      <c r="F5" s="2">
        <v>45</v>
      </c>
      <c r="G5" s="2">
        <v>35</v>
      </c>
      <c r="H5" s="2">
        <v>15</v>
      </c>
      <c r="I5" s="2">
        <v>5</v>
      </c>
      <c r="J5" s="2">
        <v>2</v>
      </c>
      <c r="K5" s="2">
        <v>1</v>
      </c>
      <c r="L5" s="2">
        <v>3</v>
      </c>
      <c r="M5" s="2">
        <v>4</v>
      </c>
      <c r="N5" s="2">
        <v>3</v>
      </c>
      <c r="O5" s="2">
        <v>4</v>
      </c>
    </row>
    <row r="6" spans="1:15" x14ac:dyDescent="0.25">
      <c r="A6" s="2">
        <v>5</v>
      </c>
      <c r="B6" s="2">
        <v>2</v>
      </c>
      <c r="C6" s="2">
        <v>43</v>
      </c>
      <c r="D6" s="2">
        <v>1</v>
      </c>
      <c r="E6" s="2">
        <v>2</v>
      </c>
      <c r="F6" s="2">
        <v>5</v>
      </c>
      <c r="G6" s="2">
        <v>5</v>
      </c>
      <c r="H6" s="2">
        <v>85</v>
      </c>
      <c r="I6" s="2">
        <v>2</v>
      </c>
      <c r="J6" s="2">
        <v>1</v>
      </c>
      <c r="K6" s="2">
        <v>3</v>
      </c>
      <c r="L6" s="2">
        <v>4</v>
      </c>
      <c r="M6" s="2">
        <v>5</v>
      </c>
      <c r="N6" s="2">
        <v>2</v>
      </c>
      <c r="O6" s="2">
        <v>4</v>
      </c>
    </row>
    <row r="7" spans="1:15" x14ac:dyDescent="0.25">
      <c r="A7" s="2">
        <v>6</v>
      </c>
      <c r="B7" s="2">
        <v>2</v>
      </c>
      <c r="C7" s="2">
        <v>37</v>
      </c>
      <c r="D7" s="2">
        <v>2</v>
      </c>
      <c r="E7" s="2">
        <v>1</v>
      </c>
      <c r="F7" s="2">
        <v>1</v>
      </c>
      <c r="G7" s="2">
        <v>1</v>
      </c>
      <c r="H7" s="2">
        <v>1</v>
      </c>
      <c r="I7" s="2">
        <v>97</v>
      </c>
      <c r="J7" s="2">
        <v>1</v>
      </c>
      <c r="K7" s="2">
        <v>2</v>
      </c>
      <c r="L7" s="2">
        <v>3</v>
      </c>
      <c r="M7" s="2">
        <v>4</v>
      </c>
      <c r="N7" s="2">
        <v>4</v>
      </c>
      <c r="O7" s="2">
        <v>1</v>
      </c>
    </row>
    <row r="8" spans="1:15" x14ac:dyDescent="0.25">
      <c r="A8" s="2">
        <v>7</v>
      </c>
      <c r="B8" s="2">
        <v>2</v>
      </c>
      <c r="C8" s="2">
        <v>34</v>
      </c>
      <c r="D8" s="2">
        <v>2</v>
      </c>
      <c r="E8" s="2">
        <v>4</v>
      </c>
      <c r="F8" s="2">
        <v>30</v>
      </c>
      <c r="G8" s="2">
        <v>30</v>
      </c>
      <c r="H8" s="2">
        <v>30</v>
      </c>
      <c r="I8" s="2">
        <v>10</v>
      </c>
      <c r="J8" s="2">
        <v>2</v>
      </c>
      <c r="K8" s="2">
        <v>1</v>
      </c>
      <c r="L8" s="2">
        <v>4</v>
      </c>
      <c r="M8" s="2">
        <v>3</v>
      </c>
      <c r="N8" s="2">
        <v>3</v>
      </c>
      <c r="O8" s="2">
        <v>2</v>
      </c>
    </row>
    <row r="9" spans="1:15" x14ac:dyDescent="0.25">
      <c r="A9" s="2">
        <v>8</v>
      </c>
      <c r="B9" s="2">
        <v>1</v>
      </c>
      <c r="C9" s="2">
        <v>57</v>
      </c>
      <c r="D9" s="2">
        <v>1</v>
      </c>
      <c r="E9" s="2">
        <v>4</v>
      </c>
      <c r="F9" s="2">
        <v>40</v>
      </c>
      <c r="G9" s="2">
        <v>30</v>
      </c>
      <c r="H9" s="2">
        <v>20</v>
      </c>
      <c r="I9" s="2">
        <v>10</v>
      </c>
      <c r="J9" s="2">
        <v>1</v>
      </c>
      <c r="K9" s="2">
        <v>2</v>
      </c>
      <c r="L9" s="2">
        <v>3</v>
      </c>
      <c r="M9" s="2">
        <v>4</v>
      </c>
      <c r="N9" s="2">
        <v>2</v>
      </c>
      <c r="O9" s="2">
        <v>1</v>
      </c>
    </row>
    <row r="10" spans="1:15" x14ac:dyDescent="0.25">
      <c r="A10" s="2">
        <v>9</v>
      </c>
      <c r="B10" s="2">
        <v>1</v>
      </c>
      <c r="C10" s="2">
        <v>42</v>
      </c>
      <c r="D10" s="2">
        <v>3</v>
      </c>
      <c r="E10" s="2">
        <v>5</v>
      </c>
      <c r="F10" s="2">
        <v>2</v>
      </c>
      <c r="G10" s="2">
        <v>3</v>
      </c>
      <c r="H10" s="2">
        <v>1</v>
      </c>
      <c r="I10" s="2">
        <v>94</v>
      </c>
      <c r="J10" s="2">
        <v>3</v>
      </c>
      <c r="K10" s="2">
        <v>1</v>
      </c>
      <c r="L10" s="2">
        <v>2</v>
      </c>
      <c r="M10" s="2">
        <v>4</v>
      </c>
      <c r="N10" s="2">
        <v>4</v>
      </c>
      <c r="O10" s="2">
        <v>3</v>
      </c>
    </row>
    <row r="11" spans="1:15" x14ac:dyDescent="0.25">
      <c r="A11" s="2">
        <v>10</v>
      </c>
      <c r="B11" s="2">
        <v>2</v>
      </c>
      <c r="C11" s="2">
        <v>41</v>
      </c>
      <c r="D11" s="2">
        <v>4</v>
      </c>
      <c r="E11" s="2">
        <v>1</v>
      </c>
      <c r="F11" s="2">
        <v>30</v>
      </c>
      <c r="G11" s="2">
        <v>40</v>
      </c>
      <c r="H11" s="2">
        <v>20</v>
      </c>
      <c r="I11" s="2">
        <v>10</v>
      </c>
      <c r="J11" s="2">
        <v>3</v>
      </c>
      <c r="K11" s="2">
        <v>2</v>
      </c>
      <c r="L11" s="2">
        <v>1</v>
      </c>
      <c r="M11" s="2">
        <v>4</v>
      </c>
      <c r="N11" s="2">
        <v>5</v>
      </c>
      <c r="O11" s="2">
        <v>2</v>
      </c>
    </row>
    <row r="12" spans="1:15" x14ac:dyDescent="0.25">
      <c r="A12" s="2">
        <v>11</v>
      </c>
      <c r="B12" s="2">
        <v>1</v>
      </c>
      <c r="C12" s="2">
        <v>22</v>
      </c>
      <c r="D12" s="2">
        <v>5</v>
      </c>
      <c r="E12" s="2">
        <v>4</v>
      </c>
      <c r="F12" s="2">
        <v>1</v>
      </c>
      <c r="G12" s="2">
        <v>0</v>
      </c>
      <c r="H12" s="2">
        <v>1</v>
      </c>
      <c r="I12" s="2">
        <v>98</v>
      </c>
      <c r="J12" s="2">
        <v>1</v>
      </c>
      <c r="K12" s="2">
        <v>2</v>
      </c>
      <c r="L12" s="2">
        <v>3</v>
      </c>
      <c r="M12" s="2">
        <v>4</v>
      </c>
      <c r="N12" s="2">
        <v>4</v>
      </c>
      <c r="O12" s="2">
        <v>1</v>
      </c>
    </row>
    <row r="13" spans="1:15" x14ac:dyDescent="0.25">
      <c r="A13" s="2">
        <v>12</v>
      </c>
      <c r="B13" s="2">
        <v>1</v>
      </c>
      <c r="C13" s="2">
        <v>19</v>
      </c>
      <c r="D13" s="2">
        <v>3</v>
      </c>
      <c r="E13" s="2">
        <v>2</v>
      </c>
      <c r="F13" s="2">
        <v>42</v>
      </c>
      <c r="G13" s="2">
        <v>37</v>
      </c>
      <c r="H13" s="2">
        <v>20</v>
      </c>
      <c r="I13" s="2">
        <v>1</v>
      </c>
      <c r="J13" s="2">
        <v>1</v>
      </c>
      <c r="K13" s="2">
        <v>3</v>
      </c>
      <c r="L13" s="2">
        <v>2</v>
      </c>
      <c r="M13" s="2">
        <v>4</v>
      </c>
      <c r="N13" s="2">
        <v>5</v>
      </c>
      <c r="O13" s="2">
        <v>2</v>
      </c>
    </row>
    <row r="14" spans="1:15" x14ac:dyDescent="0.25">
      <c r="A14" s="2">
        <v>13</v>
      </c>
      <c r="B14" s="2">
        <v>2</v>
      </c>
      <c r="C14" s="2">
        <v>17</v>
      </c>
      <c r="D14" s="2">
        <v>2</v>
      </c>
      <c r="E14" s="2">
        <v>5</v>
      </c>
      <c r="F14" s="2">
        <v>46</v>
      </c>
      <c r="G14" s="2">
        <v>34</v>
      </c>
      <c r="H14" s="2">
        <v>18</v>
      </c>
      <c r="I14" s="2">
        <v>2</v>
      </c>
      <c r="J14" s="2">
        <v>2</v>
      </c>
      <c r="K14" s="2">
        <v>1</v>
      </c>
      <c r="L14" s="2">
        <v>3</v>
      </c>
      <c r="M14" s="2">
        <v>4</v>
      </c>
      <c r="N14" s="2">
        <v>4</v>
      </c>
      <c r="O14" s="2">
        <v>1</v>
      </c>
    </row>
    <row r="15" spans="1:15" x14ac:dyDescent="0.25">
      <c r="A15" s="2">
        <v>14</v>
      </c>
      <c r="B15" s="2">
        <v>2</v>
      </c>
      <c r="C15" s="2">
        <v>23</v>
      </c>
      <c r="D15" s="2">
        <v>2</v>
      </c>
      <c r="E15" s="2">
        <v>2</v>
      </c>
      <c r="F15" s="2">
        <v>33</v>
      </c>
      <c r="G15" s="2">
        <v>33</v>
      </c>
      <c r="H15" s="2">
        <v>33</v>
      </c>
      <c r="I15" s="2">
        <v>1</v>
      </c>
      <c r="J15" s="2">
        <v>1</v>
      </c>
      <c r="K15" s="2">
        <v>2</v>
      </c>
      <c r="L15" s="2">
        <v>3</v>
      </c>
      <c r="M15" s="2">
        <v>4</v>
      </c>
      <c r="N15" s="2">
        <v>1</v>
      </c>
      <c r="O15" s="2">
        <v>1</v>
      </c>
    </row>
    <row r="16" spans="1:15" x14ac:dyDescent="0.25">
      <c r="A16" s="2">
        <v>15</v>
      </c>
      <c r="B16" s="2">
        <v>1</v>
      </c>
      <c r="C16" s="2">
        <v>37</v>
      </c>
      <c r="D16" s="2">
        <v>1</v>
      </c>
      <c r="E16" s="2">
        <v>1</v>
      </c>
      <c r="F16" s="2">
        <v>47</v>
      </c>
      <c r="G16" s="2">
        <v>40</v>
      </c>
      <c r="H16" s="2">
        <v>10</v>
      </c>
      <c r="I16" s="2">
        <v>3</v>
      </c>
      <c r="J16" s="2">
        <v>1</v>
      </c>
      <c r="K16" s="2">
        <v>2</v>
      </c>
      <c r="L16" s="2">
        <v>3</v>
      </c>
      <c r="M16" s="2">
        <v>4</v>
      </c>
      <c r="N16" s="2">
        <v>5</v>
      </c>
      <c r="O16" s="2">
        <v>2</v>
      </c>
    </row>
    <row r="17" spans="1:15" x14ac:dyDescent="0.25">
      <c r="A17" s="2">
        <v>16</v>
      </c>
      <c r="B17" s="2">
        <v>1</v>
      </c>
      <c r="C17" s="2">
        <v>41</v>
      </c>
      <c r="D17" s="2">
        <v>2</v>
      </c>
      <c r="E17" s="2">
        <v>4</v>
      </c>
      <c r="F17" s="2">
        <v>5</v>
      </c>
      <c r="G17" s="2">
        <v>1</v>
      </c>
      <c r="H17" s="2">
        <v>2</v>
      </c>
      <c r="I17" s="2">
        <v>92</v>
      </c>
      <c r="J17" s="2">
        <v>4</v>
      </c>
      <c r="K17" s="2">
        <v>1</v>
      </c>
      <c r="L17" s="2">
        <v>2</v>
      </c>
      <c r="M17" s="2">
        <v>3</v>
      </c>
      <c r="N17" s="2">
        <v>3</v>
      </c>
      <c r="O17" s="2">
        <v>4</v>
      </c>
    </row>
    <row r="18" spans="1:15" x14ac:dyDescent="0.25">
      <c r="A18" s="2">
        <v>17</v>
      </c>
      <c r="B18" s="2">
        <v>2</v>
      </c>
      <c r="C18" s="2">
        <v>58</v>
      </c>
      <c r="D18" s="2">
        <v>2</v>
      </c>
      <c r="E18" s="2">
        <v>5</v>
      </c>
      <c r="F18" s="2">
        <v>40</v>
      </c>
      <c r="G18" s="2">
        <v>40</v>
      </c>
      <c r="H18" s="2">
        <v>15</v>
      </c>
      <c r="I18" s="2">
        <v>5</v>
      </c>
      <c r="J18" s="2">
        <v>1</v>
      </c>
      <c r="K18" s="2">
        <v>2</v>
      </c>
      <c r="L18" s="2">
        <v>4</v>
      </c>
      <c r="M18" s="2">
        <v>3</v>
      </c>
      <c r="N18" s="2">
        <v>3</v>
      </c>
      <c r="O18" s="2">
        <v>3</v>
      </c>
    </row>
    <row r="19" spans="1:15" x14ac:dyDescent="0.25">
      <c r="A19" s="2">
        <v>18</v>
      </c>
      <c r="B19" s="2">
        <v>1</v>
      </c>
      <c r="C19" s="2">
        <v>42</v>
      </c>
      <c r="D19" s="2">
        <v>2</v>
      </c>
      <c r="E19" s="2">
        <v>1</v>
      </c>
      <c r="F19" s="2">
        <v>0</v>
      </c>
      <c r="G19" s="2">
        <v>0</v>
      </c>
      <c r="H19" s="2">
        <v>1</v>
      </c>
      <c r="I19" s="2">
        <v>99</v>
      </c>
      <c r="J19" s="2">
        <v>2</v>
      </c>
      <c r="K19" s="2">
        <v>1</v>
      </c>
      <c r="L19" s="2">
        <v>3</v>
      </c>
      <c r="M19" s="2">
        <v>4</v>
      </c>
      <c r="N19" s="2">
        <v>4</v>
      </c>
      <c r="O19" s="2">
        <v>5</v>
      </c>
    </row>
    <row r="20" spans="1:15" x14ac:dyDescent="0.25">
      <c r="A20" s="2">
        <v>19</v>
      </c>
      <c r="B20" s="2">
        <v>1</v>
      </c>
      <c r="C20" s="2">
        <v>33</v>
      </c>
      <c r="D20" s="2">
        <v>4</v>
      </c>
      <c r="E20" s="2">
        <v>4</v>
      </c>
      <c r="F20" s="2">
        <v>35</v>
      </c>
      <c r="G20" s="2">
        <v>35</v>
      </c>
      <c r="H20" s="2">
        <v>20</v>
      </c>
      <c r="I20" s="2">
        <v>10</v>
      </c>
      <c r="J20" s="2">
        <v>1</v>
      </c>
      <c r="K20" s="2">
        <v>2</v>
      </c>
      <c r="L20" s="2">
        <v>3</v>
      </c>
      <c r="M20" s="2">
        <v>4</v>
      </c>
      <c r="N20" s="2">
        <v>4</v>
      </c>
      <c r="O20" s="2">
        <v>2</v>
      </c>
    </row>
    <row r="21" spans="1:15" x14ac:dyDescent="0.25">
      <c r="A21" s="2">
        <v>20</v>
      </c>
      <c r="B21" s="2">
        <v>2</v>
      </c>
      <c r="C21" s="2">
        <v>29</v>
      </c>
      <c r="D21" s="2">
        <v>2</v>
      </c>
      <c r="E21" s="2">
        <v>5</v>
      </c>
      <c r="F21" s="2">
        <v>40</v>
      </c>
      <c r="G21" s="2">
        <v>30</v>
      </c>
      <c r="H21" s="2">
        <v>18</v>
      </c>
      <c r="I21" s="2">
        <v>12</v>
      </c>
      <c r="J21" s="2">
        <v>1</v>
      </c>
      <c r="K21" s="2">
        <v>2</v>
      </c>
      <c r="L21" s="2">
        <v>4</v>
      </c>
      <c r="M21" s="2">
        <v>3</v>
      </c>
      <c r="N21" s="2">
        <v>5</v>
      </c>
      <c r="O21" s="2">
        <v>1</v>
      </c>
    </row>
    <row r="22" spans="1:15" x14ac:dyDescent="0.25">
      <c r="A22" s="2">
        <v>21</v>
      </c>
      <c r="B22" s="2">
        <v>1</v>
      </c>
      <c r="C22" s="2">
        <v>22</v>
      </c>
      <c r="D22" s="2">
        <v>2</v>
      </c>
      <c r="E22" s="2">
        <v>2</v>
      </c>
      <c r="F22" s="2">
        <v>31</v>
      </c>
      <c r="G22" s="2">
        <v>31</v>
      </c>
      <c r="H22" s="2">
        <v>31</v>
      </c>
      <c r="I22" s="2">
        <v>7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1</v>
      </c>
    </row>
    <row r="23" spans="1:15" x14ac:dyDescent="0.25">
      <c r="A23" s="2">
        <v>22</v>
      </c>
      <c r="B23" s="2">
        <v>2</v>
      </c>
      <c r="C23" s="2">
        <v>25</v>
      </c>
      <c r="D23" s="2">
        <v>1</v>
      </c>
      <c r="E23" s="2">
        <v>2</v>
      </c>
      <c r="F23" s="2">
        <v>34</v>
      </c>
      <c r="G23" s="2">
        <v>35</v>
      </c>
      <c r="H23" s="2">
        <v>30</v>
      </c>
      <c r="I23" s="2">
        <v>5</v>
      </c>
      <c r="J23" s="2">
        <v>1</v>
      </c>
      <c r="K23" s="2">
        <v>3</v>
      </c>
      <c r="L23" s="2">
        <v>4</v>
      </c>
      <c r="M23" s="2">
        <v>2</v>
      </c>
      <c r="N23" s="2">
        <v>5</v>
      </c>
      <c r="O23" s="2">
        <v>1</v>
      </c>
    </row>
    <row r="24" spans="1:15" x14ac:dyDescent="0.25">
      <c r="A24" s="2">
        <v>23</v>
      </c>
      <c r="B24" s="2">
        <v>1</v>
      </c>
      <c r="C24" s="2">
        <v>21</v>
      </c>
      <c r="D24" s="2">
        <v>2</v>
      </c>
      <c r="E24" s="2">
        <v>4</v>
      </c>
      <c r="F24" s="2">
        <v>55</v>
      </c>
      <c r="G24" s="2">
        <v>20</v>
      </c>
      <c r="H24" s="2">
        <v>15</v>
      </c>
      <c r="I24" s="2">
        <v>10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3</v>
      </c>
    </row>
    <row r="25" spans="1:15" x14ac:dyDescent="0.25">
      <c r="A25" s="2">
        <v>24</v>
      </c>
      <c r="B25" s="2">
        <v>2</v>
      </c>
      <c r="C25" s="2">
        <v>43</v>
      </c>
      <c r="D25" s="2">
        <v>3</v>
      </c>
      <c r="E25" s="2">
        <v>3</v>
      </c>
      <c r="F25" s="2">
        <v>47</v>
      </c>
      <c r="G25" s="2">
        <v>33</v>
      </c>
      <c r="H25" s="2">
        <v>17</v>
      </c>
      <c r="I25" s="2">
        <v>3</v>
      </c>
      <c r="J25" s="2">
        <v>2</v>
      </c>
      <c r="K25" s="2">
        <v>1</v>
      </c>
      <c r="L25" s="2">
        <v>3</v>
      </c>
      <c r="M25" s="2">
        <v>4</v>
      </c>
      <c r="N25" s="2">
        <v>4</v>
      </c>
      <c r="O25" s="2">
        <v>3</v>
      </c>
    </row>
    <row r="26" spans="1:15" x14ac:dyDescent="0.25">
      <c r="A26" s="2">
        <v>25</v>
      </c>
      <c r="B26" s="2">
        <v>2</v>
      </c>
      <c r="C26" s="2">
        <v>40</v>
      </c>
      <c r="D26" s="2">
        <v>1</v>
      </c>
      <c r="E26" s="2">
        <v>2</v>
      </c>
      <c r="F26" s="2">
        <v>2</v>
      </c>
      <c r="G26" s="2">
        <v>2</v>
      </c>
      <c r="H26" s="2">
        <v>2</v>
      </c>
      <c r="I26" s="2">
        <v>94</v>
      </c>
      <c r="J26" s="2">
        <v>2</v>
      </c>
      <c r="K26" s="2">
        <v>1</v>
      </c>
      <c r="L26" s="2">
        <v>3</v>
      </c>
      <c r="M26" s="2">
        <v>4</v>
      </c>
      <c r="N26" s="2">
        <v>4</v>
      </c>
      <c r="O26" s="2">
        <v>1</v>
      </c>
    </row>
    <row r="27" spans="1:15" x14ac:dyDescent="0.25">
      <c r="A27" s="2">
        <v>26</v>
      </c>
      <c r="B27" s="2">
        <v>2</v>
      </c>
      <c r="C27" s="2">
        <v>36</v>
      </c>
      <c r="D27" s="2">
        <v>2</v>
      </c>
      <c r="E27" s="2">
        <v>1</v>
      </c>
      <c r="F27" s="2">
        <v>30</v>
      </c>
      <c r="G27" s="2">
        <v>30</v>
      </c>
      <c r="H27" s="2">
        <v>30</v>
      </c>
      <c r="I27" s="2">
        <v>10</v>
      </c>
      <c r="J27" s="2">
        <v>2</v>
      </c>
      <c r="K27" s="2">
        <v>1</v>
      </c>
      <c r="L27" s="2">
        <v>4</v>
      </c>
      <c r="M27" s="2">
        <v>3</v>
      </c>
      <c r="N27" s="2">
        <v>3</v>
      </c>
      <c r="O27" s="2">
        <v>3</v>
      </c>
    </row>
    <row r="28" spans="1:15" x14ac:dyDescent="0.25">
      <c r="A28" s="2">
        <v>27</v>
      </c>
      <c r="B28" s="2">
        <v>2</v>
      </c>
      <c r="C28" s="2">
        <v>32</v>
      </c>
      <c r="D28" s="2">
        <v>1</v>
      </c>
      <c r="E28" s="2">
        <v>5</v>
      </c>
      <c r="F28" s="2">
        <v>1</v>
      </c>
      <c r="G28" s="2">
        <v>0</v>
      </c>
      <c r="H28" s="2">
        <v>5</v>
      </c>
      <c r="I28" s="2">
        <v>94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2</v>
      </c>
    </row>
    <row r="29" spans="1:15" x14ac:dyDescent="0.25">
      <c r="A29" s="2">
        <v>28</v>
      </c>
      <c r="B29" s="2">
        <v>1</v>
      </c>
      <c r="C29" s="2">
        <v>59</v>
      </c>
      <c r="D29" s="2">
        <v>1</v>
      </c>
      <c r="E29" s="2">
        <v>4</v>
      </c>
      <c r="F29" s="2">
        <v>40</v>
      </c>
      <c r="G29" s="2">
        <v>30</v>
      </c>
      <c r="H29" s="2">
        <v>25</v>
      </c>
      <c r="I29" s="2">
        <v>5</v>
      </c>
      <c r="J29" s="2">
        <v>2</v>
      </c>
      <c r="K29" s="2">
        <v>1</v>
      </c>
      <c r="L29" s="2">
        <v>3</v>
      </c>
      <c r="M29" s="2">
        <v>4</v>
      </c>
      <c r="N29" s="2">
        <v>4</v>
      </c>
      <c r="O29" s="2">
        <v>2</v>
      </c>
    </row>
    <row r="30" spans="1:15" x14ac:dyDescent="0.25">
      <c r="A30" s="2">
        <v>29</v>
      </c>
      <c r="B30" s="2">
        <v>1</v>
      </c>
      <c r="C30" s="2">
        <v>44</v>
      </c>
      <c r="D30" s="2">
        <v>3</v>
      </c>
      <c r="E30" s="2">
        <v>5</v>
      </c>
      <c r="F30" s="2">
        <v>43</v>
      </c>
      <c r="G30" s="2">
        <v>20</v>
      </c>
      <c r="H30" s="2">
        <v>20</v>
      </c>
      <c r="I30" s="2">
        <v>7</v>
      </c>
      <c r="J30" s="2">
        <v>1</v>
      </c>
      <c r="K30" s="2">
        <v>2</v>
      </c>
      <c r="L30" s="2">
        <v>4</v>
      </c>
      <c r="M30" s="2">
        <v>3</v>
      </c>
      <c r="N30" s="2">
        <v>3</v>
      </c>
      <c r="O30" s="2">
        <v>3</v>
      </c>
    </row>
    <row r="31" spans="1:15" x14ac:dyDescent="0.25">
      <c r="A31" s="2">
        <v>30</v>
      </c>
      <c r="B31" s="2">
        <v>2</v>
      </c>
      <c r="C31" s="2">
        <v>49</v>
      </c>
      <c r="D31" s="2">
        <v>1</v>
      </c>
      <c r="E31" s="2">
        <v>1</v>
      </c>
      <c r="F31" s="2">
        <v>58</v>
      </c>
      <c r="G31" s="2">
        <v>32</v>
      </c>
      <c r="H31" s="2">
        <v>5</v>
      </c>
      <c r="I31" s="2">
        <v>5</v>
      </c>
      <c r="J31" s="2">
        <v>1</v>
      </c>
      <c r="K31" s="2">
        <v>3</v>
      </c>
      <c r="L31" s="2">
        <v>2</v>
      </c>
      <c r="M31" s="2">
        <v>4</v>
      </c>
      <c r="N31" s="2">
        <v>5</v>
      </c>
      <c r="O31" s="2">
        <v>2</v>
      </c>
    </row>
    <row r="32" spans="1:15" x14ac:dyDescent="0.25">
      <c r="A32" s="2">
        <v>31</v>
      </c>
      <c r="B32" s="2">
        <v>2</v>
      </c>
      <c r="C32" s="2">
        <v>29</v>
      </c>
      <c r="D32" s="2">
        <v>2</v>
      </c>
      <c r="E32" s="2">
        <v>5</v>
      </c>
      <c r="F32" s="2">
        <v>40</v>
      </c>
      <c r="G32" s="2">
        <v>25</v>
      </c>
      <c r="H32" s="2">
        <v>25</v>
      </c>
      <c r="I32" s="2">
        <v>10</v>
      </c>
      <c r="J32" s="2">
        <v>1</v>
      </c>
      <c r="K32" s="2">
        <v>2</v>
      </c>
      <c r="L32" s="2">
        <v>3</v>
      </c>
      <c r="M32" s="2">
        <v>4</v>
      </c>
      <c r="N32" s="2">
        <v>5</v>
      </c>
      <c r="O32" s="2">
        <v>1</v>
      </c>
    </row>
    <row r="33" spans="1:15" x14ac:dyDescent="0.25">
      <c r="A33" s="2">
        <v>32</v>
      </c>
      <c r="B33" s="2">
        <v>1</v>
      </c>
      <c r="C33" s="2">
        <v>35</v>
      </c>
      <c r="D33" s="2">
        <v>2</v>
      </c>
      <c r="E33" s="2">
        <v>4</v>
      </c>
      <c r="F33" s="2">
        <v>1</v>
      </c>
      <c r="G33" s="2">
        <v>0</v>
      </c>
      <c r="H33" s="2">
        <v>1</v>
      </c>
      <c r="I33" s="2">
        <v>98</v>
      </c>
      <c r="J33" s="2">
        <v>1</v>
      </c>
      <c r="K33" s="2">
        <v>3</v>
      </c>
      <c r="L33" s="2">
        <v>2</v>
      </c>
      <c r="M33" s="2">
        <v>4</v>
      </c>
      <c r="N33" s="2">
        <v>4</v>
      </c>
      <c r="O33" s="2">
        <v>2</v>
      </c>
    </row>
    <row r="34" spans="1:15" x14ac:dyDescent="0.25">
      <c r="A34" s="2">
        <v>33</v>
      </c>
      <c r="B34" s="2">
        <v>2</v>
      </c>
      <c r="C34" s="2">
        <v>43</v>
      </c>
      <c r="D34" s="2">
        <v>3</v>
      </c>
      <c r="E34" s="2">
        <v>3</v>
      </c>
      <c r="F34" s="2">
        <v>47</v>
      </c>
      <c r="G34" s="2">
        <v>33</v>
      </c>
      <c r="H34" s="2">
        <v>17</v>
      </c>
      <c r="I34" s="2">
        <v>3</v>
      </c>
      <c r="J34" s="2">
        <v>2</v>
      </c>
      <c r="K34" s="2">
        <v>1</v>
      </c>
      <c r="L34" s="2">
        <v>3</v>
      </c>
      <c r="M34" s="2">
        <v>4</v>
      </c>
      <c r="N34" s="2">
        <v>4</v>
      </c>
      <c r="O34" s="2">
        <v>3</v>
      </c>
    </row>
    <row r="35" spans="1:15" x14ac:dyDescent="0.25">
      <c r="A35" s="2">
        <v>34</v>
      </c>
      <c r="B35" s="2">
        <v>2</v>
      </c>
      <c r="C35" s="2">
        <v>40</v>
      </c>
      <c r="D35" s="2">
        <v>1</v>
      </c>
      <c r="E35" s="2">
        <v>2</v>
      </c>
      <c r="F35" s="2">
        <v>2</v>
      </c>
      <c r="G35" s="2">
        <v>2</v>
      </c>
      <c r="H35" s="2">
        <v>2</v>
      </c>
      <c r="I35" s="2">
        <v>94</v>
      </c>
      <c r="J35" s="2">
        <v>2</v>
      </c>
      <c r="K35" s="2">
        <v>1</v>
      </c>
      <c r="L35" s="2">
        <v>3</v>
      </c>
      <c r="M35" s="2">
        <v>4</v>
      </c>
      <c r="N35" s="2">
        <v>4</v>
      </c>
      <c r="O35" s="2">
        <v>1</v>
      </c>
    </row>
    <row r="36" spans="1:15" x14ac:dyDescent="0.25">
      <c r="A36" s="2">
        <v>35</v>
      </c>
      <c r="B36" s="2">
        <v>2</v>
      </c>
      <c r="C36" s="2">
        <v>36</v>
      </c>
      <c r="D36" s="2">
        <v>2</v>
      </c>
      <c r="E36" s="2">
        <v>1</v>
      </c>
      <c r="F36" s="2">
        <v>30</v>
      </c>
      <c r="G36" s="2">
        <v>30</v>
      </c>
      <c r="H36" s="2">
        <v>30</v>
      </c>
      <c r="I36" s="2">
        <v>10</v>
      </c>
      <c r="J36" s="2">
        <v>2</v>
      </c>
      <c r="K36" s="2">
        <v>1</v>
      </c>
      <c r="L36" s="2">
        <v>4</v>
      </c>
      <c r="M36" s="2">
        <v>3</v>
      </c>
      <c r="N36" s="2">
        <v>3</v>
      </c>
      <c r="O36" s="2">
        <v>3</v>
      </c>
    </row>
    <row r="37" spans="1:15" x14ac:dyDescent="0.25">
      <c r="A37" s="2">
        <v>36</v>
      </c>
      <c r="B37" s="2">
        <v>2</v>
      </c>
      <c r="C37" s="2">
        <v>32</v>
      </c>
      <c r="D37" s="2">
        <v>1</v>
      </c>
      <c r="E37" s="2">
        <v>5</v>
      </c>
      <c r="F37" s="2">
        <v>1</v>
      </c>
      <c r="G37" s="2">
        <v>0</v>
      </c>
      <c r="H37" s="2">
        <v>5</v>
      </c>
      <c r="I37" s="2">
        <v>94</v>
      </c>
      <c r="J37" s="2">
        <v>1</v>
      </c>
      <c r="K37" s="2">
        <v>2</v>
      </c>
      <c r="L37" s="2">
        <v>3</v>
      </c>
      <c r="M37" s="2">
        <v>4</v>
      </c>
      <c r="N37" s="2">
        <v>5</v>
      </c>
      <c r="O37" s="2">
        <v>2</v>
      </c>
    </row>
    <row r="38" spans="1:15" x14ac:dyDescent="0.25">
      <c r="A38" s="2">
        <v>37</v>
      </c>
      <c r="B38" s="2">
        <v>2</v>
      </c>
      <c r="C38" s="2">
        <v>34</v>
      </c>
      <c r="D38" s="2">
        <v>2</v>
      </c>
      <c r="E38" s="2">
        <v>4</v>
      </c>
      <c r="F38" s="2">
        <v>30</v>
      </c>
      <c r="G38" s="2">
        <v>30</v>
      </c>
      <c r="H38" s="2">
        <v>30</v>
      </c>
      <c r="I38" s="2">
        <v>10</v>
      </c>
      <c r="J38" s="2">
        <v>2</v>
      </c>
      <c r="K38" s="2">
        <v>1</v>
      </c>
      <c r="L38" s="2">
        <v>4</v>
      </c>
      <c r="M38" s="2">
        <v>3</v>
      </c>
      <c r="N38" s="2">
        <v>3</v>
      </c>
      <c r="O38" s="2">
        <v>2</v>
      </c>
    </row>
    <row r="39" spans="1:15" x14ac:dyDescent="0.25">
      <c r="A39" s="2">
        <v>38</v>
      </c>
      <c r="B39" s="2">
        <v>1</v>
      </c>
      <c r="C39" s="2">
        <v>22</v>
      </c>
      <c r="D39" s="2">
        <v>5</v>
      </c>
      <c r="E39" s="2">
        <v>4</v>
      </c>
      <c r="F39" s="2">
        <v>1</v>
      </c>
      <c r="G39" s="2">
        <v>0</v>
      </c>
      <c r="H39" s="2">
        <v>4</v>
      </c>
      <c r="I39" s="2">
        <v>95</v>
      </c>
      <c r="J39" s="2">
        <v>1</v>
      </c>
      <c r="K39" s="2">
        <v>2</v>
      </c>
      <c r="L39" s="2">
        <v>3</v>
      </c>
      <c r="M39" s="2">
        <v>4</v>
      </c>
      <c r="N39" s="2">
        <v>4</v>
      </c>
      <c r="O39" s="2">
        <v>1</v>
      </c>
    </row>
    <row r="40" spans="1:15" x14ac:dyDescent="0.25">
      <c r="A40" s="2">
        <v>39</v>
      </c>
      <c r="B40" s="2">
        <v>1</v>
      </c>
      <c r="C40" s="2">
        <v>19</v>
      </c>
      <c r="D40" s="2">
        <v>3</v>
      </c>
      <c r="E40" s="2">
        <v>2</v>
      </c>
      <c r="F40" s="2">
        <v>42</v>
      </c>
      <c r="G40" s="2">
        <v>37</v>
      </c>
      <c r="H40" s="2">
        <v>20</v>
      </c>
      <c r="I40" s="2">
        <v>1</v>
      </c>
      <c r="J40" s="2">
        <v>1</v>
      </c>
      <c r="K40" s="2">
        <v>3</v>
      </c>
      <c r="L40" s="2">
        <v>2</v>
      </c>
      <c r="M40" s="2">
        <v>4</v>
      </c>
      <c r="N40" s="2">
        <v>5</v>
      </c>
      <c r="O40" s="2">
        <v>2</v>
      </c>
    </row>
    <row r="41" spans="1:15" x14ac:dyDescent="0.25">
      <c r="A41" s="2">
        <v>40</v>
      </c>
      <c r="B41" s="2">
        <v>2</v>
      </c>
      <c r="C41" s="2">
        <v>17</v>
      </c>
      <c r="D41" s="2">
        <v>2</v>
      </c>
      <c r="E41" s="2">
        <v>5</v>
      </c>
      <c r="F41" s="2">
        <v>46</v>
      </c>
      <c r="G41" s="2">
        <v>34</v>
      </c>
      <c r="H41" s="2">
        <v>18</v>
      </c>
      <c r="I41" s="2">
        <v>2</v>
      </c>
      <c r="J41" s="2">
        <v>2</v>
      </c>
      <c r="K41" s="2">
        <v>1</v>
      </c>
      <c r="L41" s="2">
        <v>3</v>
      </c>
      <c r="M41" s="2">
        <v>4</v>
      </c>
      <c r="N41" s="2">
        <v>4</v>
      </c>
      <c r="O41" s="2">
        <v>1</v>
      </c>
    </row>
    <row r="42" spans="1:15" x14ac:dyDescent="0.25">
      <c r="A42" s="2">
        <v>41</v>
      </c>
      <c r="B42" s="2">
        <v>1</v>
      </c>
      <c r="C42" s="2">
        <v>57</v>
      </c>
      <c r="D42" s="2">
        <v>1</v>
      </c>
      <c r="E42" s="2">
        <v>4</v>
      </c>
      <c r="F42" s="2">
        <v>40</v>
      </c>
      <c r="G42" s="2">
        <v>30</v>
      </c>
      <c r="H42" s="2">
        <v>20</v>
      </c>
      <c r="I42" s="2">
        <v>10</v>
      </c>
      <c r="J42" s="2">
        <v>1</v>
      </c>
      <c r="K42" s="2">
        <v>2</v>
      </c>
      <c r="L42" s="2">
        <v>3</v>
      </c>
      <c r="M42" s="2">
        <v>4</v>
      </c>
      <c r="N42" s="2">
        <v>4</v>
      </c>
      <c r="O42" s="2">
        <v>1</v>
      </c>
    </row>
    <row r="43" spans="1:15" x14ac:dyDescent="0.25">
      <c r="A43" s="2">
        <v>42</v>
      </c>
      <c r="B43" s="2">
        <v>1</v>
      </c>
      <c r="C43" s="2">
        <v>42</v>
      </c>
      <c r="D43" s="2">
        <v>3</v>
      </c>
      <c r="E43" s="2">
        <v>5</v>
      </c>
      <c r="F43" s="2">
        <v>3</v>
      </c>
      <c r="G43" s="2">
        <v>6</v>
      </c>
      <c r="H43" s="2">
        <v>1</v>
      </c>
      <c r="I43" s="2">
        <v>90</v>
      </c>
      <c r="J43" s="2">
        <v>3</v>
      </c>
      <c r="K43" s="2">
        <v>2</v>
      </c>
      <c r="L43" s="2">
        <v>2</v>
      </c>
      <c r="M43" s="2">
        <v>4</v>
      </c>
      <c r="N43" s="2">
        <v>4</v>
      </c>
      <c r="O43" s="2">
        <v>3</v>
      </c>
    </row>
    <row r="44" spans="1:15" x14ac:dyDescent="0.25">
      <c r="A44" s="2">
        <v>43</v>
      </c>
      <c r="B44" s="2">
        <v>2</v>
      </c>
      <c r="C44" s="2">
        <v>41</v>
      </c>
      <c r="D44" s="2">
        <v>4</v>
      </c>
      <c r="E44" s="2">
        <v>1</v>
      </c>
      <c r="F44" s="2">
        <v>30</v>
      </c>
      <c r="G44" s="2">
        <v>40</v>
      </c>
      <c r="H44" s="2">
        <v>20</v>
      </c>
      <c r="I44" s="2">
        <v>10</v>
      </c>
      <c r="J44" s="2">
        <v>1</v>
      </c>
      <c r="K44" s="2">
        <v>3</v>
      </c>
      <c r="L44" s="2">
        <v>2</v>
      </c>
      <c r="M44" s="2">
        <v>4</v>
      </c>
      <c r="N44" s="2">
        <v>4</v>
      </c>
      <c r="O44" s="2">
        <v>1</v>
      </c>
    </row>
    <row r="45" spans="1:15" x14ac:dyDescent="0.25">
      <c r="A45" s="2">
        <v>44</v>
      </c>
      <c r="B45" s="2">
        <v>2</v>
      </c>
      <c r="C45" s="2">
        <v>33</v>
      </c>
      <c r="D45" s="2">
        <v>5</v>
      </c>
      <c r="E45" s="2">
        <v>2</v>
      </c>
      <c r="F45" s="2">
        <v>50</v>
      </c>
      <c r="G45" s="2">
        <v>35</v>
      </c>
      <c r="H45" s="2">
        <v>15</v>
      </c>
      <c r="I45" s="2">
        <v>0</v>
      </c>
      <c r="J45" s="2">
        <v>1</v>
      </c>
      <c r="K45" s="2">
        <v>2</v>
      </c>
      <c r="L45" s="2">
        <v>3</v>
      </c>
      <c r="M45" s="2">
        <v>4</v>
      </c>
      <c r="N45" s="2">
        <v>5</v>
      </c>
      <c r="O45" s="2">
        <v>2</v>
      </c>
    </row>
    <row r="46" spans="1:15" x14ac:dyDescent="0.25">
      <c r="A46" s="2">
        <v>45</v>
      </c>
      <c r="B46" s="2">
        <v>1</v>
      </c>
      <c r="C46" s="2">
        <v>37</v>
      </c>
      <c r="D46" s="2">
        <v>4</v>
      </c>
      <c r="E46" s="2">
        <v>3</v>
      </c>
      <c r="F46" s="2">
        <v>42</v>
      </c>
      <c r="G46" s="2">
        <v>30</v>
      </c>
      <c r="H46" s="2">
        <v>20</v>
      </c>
      <c r="I46" s="2">
        <v>5</v>
      </c>
      <c r="J46" s="2">
        <v>1</v>
      </c>
      <c r="K46" s="2">
        <v>3</v>
      </c>
      <c r="L46" s="2">
        <v>2</v>
      </c>
      <c r="M46" s="2">
        <v>4</v>
      </c>
      <c r="N46" s="2">
        <v>1</v>
      </c>
      <c r="O46" s="2">
        <v>2</v>
      </c>
    </row>
    <row r="47" spans="1:15" x14ac:dyDescent="0.25">
      <c r="A47" s="2">
        <v>46</v>
      </c>
      <c r="B47" s="2">
        <v>1</v>
      </c>
      <c r="C47" s="2">
        <v>41</v>
      </c>
      <c r="D47" s="2">
        <v>2</v>
      </c>
      <c r="E47" s="2">
        <v>4</v>
      </c>
      <c r="F47" s="2">
        <v>0</v>
      </c>
      <c r="G47" s="2">
        <v>1</v>
      </c>
      <c r="H47" s="2">
        <v>2</v>
      </c>
      <c r="I47" s="2">
        <v>97</v>
      </c>
      <c r="J47" s="2">
        <v>4</v>
      </c>
      <c r="K47" s="2">
        <v>1</v>
      </c>
      <c r="L47" s="2">
        <v>2</v>
      </c>
      <c r="M47" s="2">
        <v>3</v>
      </c>
      <c r="N47" s="2">
        <v>3</v>
      </c>
      <c r="O47" s="2">
        <v>4</v>
      </c>
    </row>
    <row r="48" spans="1:15" x14ac:dyDescent="0.25">
      <c r="A48" s="2">
        <v>47</v>
      </c>
      <c r="B48" s="2">
        <v>1</v>
      </c>
      <c r="C48" s="2">
        <v>33</v>
      </c>
      <c r="D48" s="2">
        <v>4</v>
      </c>
      <c r="E48" s="2">
        <v>4</v>
      </c>
      <c r="F48" s="2">
        <v>35</v>
      </c>
      <c r="G48" s="2">
        <v>35</v>
      </c>
      <c r="H48" s="2">
        <v>20</v>
      </c>
      <c r="I48" s="2">
        <v>10</v>
      </c>
      <c r="J48" s="2">
        <v>1</v>
      </c>
      <c r="K48" s="2">
        <v>2</v>
      </c>
      <c r="L48" s="2">
        <v>3</v>
      </c>
      <c r="M48" s="2">
        <v>4</v>
      </c>
      <c r="N48" s="2">
        <v>4</v>
      </c>
      <c r="O48" s="2">
        <v>2</v>
      </c>
    </row>
    <row r="49" spans="1:16" x14ac:dyDescent="0.25">
      <c r="A49" s="2">
        <v>48</v>
      </c>
      <c r="B49" s="2">
        <v>2</v>
      </c>
      <c r="C49" s="2">
        <v>29</v>
      </c>
      <c r="D49" s="2">
        <v>2</v>
      </c>
      <c r="E49" s="2">
        <v>5</v>
      </c>
      <c r="F49" s="2">
        <v>40</v>
      </c>
      <c r="G49" s="2">
        <v>30</v>
      </c>
      <c r="H49" s="2">
        <v>18</v>
      </c>
      <c r="I49" s="2">
        <v>12</v>
      </c>
      <c r="J49" s="2">
        <v>1</v>
      </c>
      <c r="K49" s="2">
        <v>2</v>
      </c>
      <c r="L49" s="2">
        <v>4</v>
      </c>
      <c r="M49" s="2">
        <v>3</v>
      </c>
      <c r="N49" s="2">
        <v>5</v>
      </c>
      <c r="O49" s="2">
        <v>1</v>
      </c>
    </row>
    <row r="50" spans="1:16" x14ac:dyDescent="0.25">
      <c r="A50" s="2">
        <v>49</v>
      </c>
      <c r="B50" s="2">
        <v>1</v>
      </c>
      <c r="C50" s="2">
        <v>42</v>
      </c>
      <c r="D50" s="2">
        <v>3</v>
      </c>
      <c r="E50" s="2">
        <v>1</v>
      </c>
      <c r="F50" s="2">
        <v>0</v>
      </c>
      <c r="G50" s="2">
        <v>1</v>
      </c>
      <c r="H50" s="2">
        <v>0</v>
      </c>
      <c r="I50" s="2">
        <v>99</v>
      </c>
      <c r="J50" s="2">
        <v>2</v>
      </c>
      <c r="K50" s="2">
        <v>1</v>
      </c>
      <c r="L50" s="2">
        <v>3</v>
      </c>
      <c r="M50" s="2">
        <v>4</v>
      </c>
      <c r="N50" s="2">
        <v>4</v>
      </c>
      <c r="O50" s="2">
        <v>5</v>
      </c>
    </row>
    <row r="51" spans="1:16" x14ac:dyDescent="0.25">
      <c r="A51" s="2">
        <v>50</v>
      </c>
      <c r="B51" s="2">
        <v>2</v>
      </c>
      <c r="C51" s="2">
        <v>58</v>
      </c>
      <c r="D51" s="2">
        <v>2</v>
      </c>
      <c r="E51" s="2">
        <v>5</v>
      </c>
      <c r="F51" s="2">
        <v>38</v>
      </c>
      <c r="G51" s="2">
        <v>38</v>
      </c>
      <c r="H51" s="2">
        <v>20</v>
      </c>
      <c r="I51" s="2">
        <v>4</v>
      </c>
      <c r="J51" s="2">
        <v>1</v>
      </c>
      <c r="K51" s="2">
        <v>2</v>
      </c>
      <c r="L51" s="2">
        <v>4</v>
      </c>
      <c r="M51" s="2">
        <v>3</v>
      </c>
      <c r="N51" s="2">
        <v>3</v>
      </c>
      <c r="O51" s="2">
        <v>3</v>
      </c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6" ht="60.75" thickBot="1" x14ac:dyDescent="0.3">
      <c r="A54" s="9"/>
      <c r="B54" s="3" t="s">
        <v>0</v>
      </c>
      <c r="C54" s="4" t="s">
        <v>11</v>
      </c>
      <c r="D54" s="4" t="s">
        <v>2</v>
      </c>
      <c r="E54" s="4" t="s">
        <v>3</v>
      </c>
      <c r="F54" s="4" t="s">
        <v>4</v>
      </c>
      <c r="G54" s="4" t="s">
        <v>12</v>
      </c>
      <c r="H54" s="4" t="s">
        <v>13</v>
      </c>
      <c r="I54" s="4" t="s">
        <v>5</v>
      </c>
      <c r="J54" s="4" t="s">
        <v>14</v>
      </c>
      <c r="K54" s="4" t="s">
        <v>6</v>
      </c>
      <c r="L54" s="4" t="s">
        <v>7</v>
      </c>
      <c r="M54" s="4" t="s">
        <v>8</v>
      </c>
      <c r="N54" s="4" t="s">
        <v>15</v>
      </c>
      <c r="O54" s="4" t="s">
        <v>9</v>
      </c>
      <c r="P54" s="6" t="s">
        <v>10</v>
      </c>
    </row>
    <row r="55" spans="1:16" ht="30.75" thickBot="1" x14ac:dyDescent="0.3">
      <c r="A55" s="3" t="s">
        <v>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5.75" thickBot="1" x14ac:dyDescent="0.3">
      <c r="A56" s="4" t="s">
        <v>11</v>
      </c>
      <c r="B56" s="7"/>
      <c r="C56" s="7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15.75" thickBot="1" x14ac:dyDescent="0.3">
      <c r="A57" s="4" t="s">
        <v>2</v>
      </c>
      <c r="B57" s="7"/>
      <c r="C57" s="7">
        <v>2.170233053832973E-2</v>
      </c>
      <c r="D57" s="7">
        <v>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15.75" thickBot="1" x14ac:dyDescent="0.3">
      <c r="A58" s="4" t="s">
        <v>3</v>
      </c>
      <c r="B58" s="7"/>
      <c r="C58" s="7">
        <v>-0.18018951687885301</v>
      </c>
      <c r="D58" s="7">
        <v>-0.17375286334338264</v>
      </c>
      <c r="E58" s="7">
        <v>1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ht="15.75" thickBot="1" x14ac:dyDescent="0.3">
      <c r="A59" s="4" t="s">
        <v>4</v>
      </c>
      <c r="B59" s="7"/>
      <c r="C59" s="7">
        <v>-9.0357809388821986E-2</v>
      </c>
      <c r="D59" s="7">
        <v>3.4630651251946053E-2</v>
      </c>
      <c r="E59" s="7">
        <v>3.6252334466130206E-17</v>
      </c>
      <c r="F59" s="7">
        <v>1</v>
      </c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15.75" thickBot="1" x14ac:dyDescent="0.3">
      <c r="A60" s="4" t="s">
        <v>12</v>
      </c>
      <c r="B60" s="7"/>
      <c r="C60" s="7">
        <v>0.14257022448145273</v>
      </c>
      <c r="D60" s="7">
        <v>-5.8333115302649965E-2</v>
      </c>
      <c r="E60" s="7">
        <v>-3.3227097342258208E-3</v>
      </c>
      <c r="F60" s="7">
        <v>4.8557990272913833E-2</v>
      </c>
      <c r="G60" s="7">
        <v>1</v>
      </c>
      <c r="H60" s="7"/>
      <c r="I60" s="7"/>
      <c r="J60" s="7"/>
      <c r="K60" s="7"/>
      <c r="L60" s="7"/>
      <c r="M60" s="7"/>
      <c r="N60" s="7"/>
      <c r="O60" s="7"/>
      <c r="P60" s="7"/>
    </row>
    <row r="61" spans="1:16" ht="30.75" thickBot="1" x14ac:dyDescent="0.3">
      <c r="A61" s="4" t="s">
        <v>13</v>
      </c>
      <c r="B61" s="7"/>
      <c r="C61" s="7">
        <v>0.23950446459442673</v>
      </c>
      <c r="D61" s="7">
        <v>-3.1481082061727228E-2</v>
      </c>
      <c r="E61" s="7">
        <v>7.578724719543932E-2</v>
      </c>
      <c r="F61" s="7">
        <v>-0.10915735232742449</v>
      </c>
      <c r="G61" s="7">
        <v>0.884683468329865</v>
      </c>
      <c r="H61" s="7">
        <v>1</v>
      </c>
      <c r="I61" s="7"/>
      <c r="J61" s="7"/>
      <c r="K61" s="7"/>
      <c r="L61" s="7"/>
      <c r="M61" s="7"/>
      <c r="N61" s="7"/>
      <c r="O61" s="7"/>
      <c r="P61" s="7"/>
    </row>
    <row r="62" spans="1:16" ht="30.75" thickBot="1" x14ac:dyDescent="0.3">
      <c r="A62" s="4" t="s">
        <v>5</v>
      </c>
      <c r="B62" s="7"/>
      <c r="C62" s="7">
        <v>0.26348734086864933</v>
      </c>
      <c r="D62" s="7">
        <v>-7.144548126972286E-2</v>
      </c>
      <c r="E62" s="7">
        <v>-0.17343308695670903</v>
      </c>
      <c r="F62" s="7">
        <v>-0.15692364507498532</v>
      </c>
      <c r="G62" s="7">
        <v>0.33029093557011663</v>
      </c>
      <c r="H62" s="7">
        <v>0.43410768192565341</v>
      </c>
      <c r="I62" s="7">
        <v>1</v>
      </c>
      <c r="J62" s="7"/>
      <c r="K62" s="7"/>
      <c r="L62" s="7"/>
      <c r="M62" s="7"/>
      <c r="N62" s="7"/>
      <c r="O62" s="7"/>
      <c r="P62" s="7"/>
    </row>
    <row r="63" spans="1:16" ht="30.75" thickBot="1" x14ac:dyDescent="0.3">
      <c r="A63" s="4" t="s">
        <v>14</v>
      </c>
      <c r="B63" s="7"/>
      <c r="C63" s="7">
        <v>-0.21048818556751356</v>
      </c>
      <c r="D63" s="7">
        <v>8.005885452811852E-2</v>
      </c>
      <c r="E63" s="7">
        <v>-2.4836882127192154E-2</v>
      </c>
      <c r="F63" s="7">
        <v>8.7539898820695711E-2</v>
      </c>
      <c r="G63" s="7">
        <v>-0.43644250111827149</v>
      </c>
      <c r="H63" s="7">
        <v>-0.47270757612349706</v>
      </c>
      <c r="I63" s="7">
        <v>-0.34036729875462135</v>
      </c>
      <c r="J63" s="7">
        <v>1</v>
      </c>
      <c r="K63" s="7"/>
      <c r="L63" s="7"/>
      <c r="M63" s="7"/>
      <c r="N63" s="7"/>
      <c r="O63" s="7"/>
      <c r="P63" s="7"/>
    </row>
    <row r="64" spans="1:16" ht="30.75" thickBot="1" x14ac:dyDescent="0.3">
      <c r="A64" s="4" t="s">
        <v>6</v>
      </c>
      <c r="B64" s="7"/>
      <c r="C64" s="7">
        <v>-5.3452135423738154E-2</v>
      </c>
      <c r="D64" s="7">
        <v>0.2236744840931878</v>
      </c>
      <c r="E64" s="7">
        <v>2.7064119812257564E-2</v>
      </c>
      <c r="F64" s="7">
        <v>4.7500493789587497E-2</v>
      </c>
      <c r="G64" s="7">
        <v>-0.35326228646580787</v>
      </c>
      <c r="H64" s="7">
        <v>-0.29742463584860612</v>
      </c>
      <c r="I64" s="7">
        <v>-0.2760591783906316</v>
      </c>
      <c r="J64" s="7">
        <v>0.51731928342899791</v>
      </c>
      <c r="K64" s="7">
        <v>1</v>
      </c>
      <c r="L64" s="7"/>
      <c r="M64" s="7"/>
      <c r="N64" s="7"/>
      <c r="O64" s="7"/>
      <c r="P64" s="7"/>
    </row>
    <row r="65" spans="1:16" ht="15.75" thickBot="1" x14ac:dyDescent="0.3">
      <c r="A65" s="4" t="s">
        <v>7</v>
      </c>
      <c r="B65" s="7"/>
      <c r="C65" s="7">
        <v>-9.5879166641863647E-2</v>
      </c>
      <c r="D65" s="7">
        <v>-0.18378180997583446</v>
      </c>
      <c r="E65" s="7">
        <v>8.5148073528583432E-2</v>
      </c>
      <c r="F65" s="7">
        <v>-0.15823502761794841</v>
      </c>
      <c r="G65" s="7">
        <v>0.17236389311533326</v>
      </c>
      <c r="H65" s="7">
        <v>0.20143274783427231</v>
      </c>
      <c r="I65" s="7">
        <v>0.25172721853655489</v>
      </c>
      <c r="J65" s="7">
        <v>-0.22642092812516348</v>
      </c>
      <c r="K65" s="7">
        <v>-0.64992483934704215</v>
      </c>
      <c r="L65" s="7">
        <v>1</v>
      </c>
      <c r="M65" s="7"/>
      <c r="N65" s="7"/>
      <c r="O65" s="7"/>
      <c r="P65" s="7"/>
    </row>
    <row r="66" spans="1:16" ht="30.75" thickBot="1" x14ac:dyDescent="0.3">
      <c r="A66" s="4" t="s">
        <v>8</v>
      </c>
      <c r="B66" s="7"/>
      <c r="C66" s="7">
        <v>0.38953866192160358</v>
      </c>
      <c r="D66" s="7">
        <v>4.9667643442354798E-3</v>
      </c>
      <c r="E66" s="7">
        <v>-0.29303177430330252</v>
      </c>
      <c r="F66" s="7">
        <v>0.146943671674129</v>
      </c>
      <c r="G66" s="7">
        <v>0.16298365042945942</v>
      </c>
      <c r="H66" s="7">
        <v>0.158153695412177</v>
      </c>
      <c r="I66" s="7">
        <v>0.43745997604792003</v>
      </c>
      <c r="J66" s="7">
        <v>-0.26488519007680694</v>
      </c>
      <c r="K66" s="7">
        <v>-0.35522689904932192</v>
      </c>
      <c r="L66" s="7">
        <v>-0.15777895820254736</v>
      </c>
      <c r="M66" s="7">
        <v>1</v>
      </c>
      <c r="N66" s="7"/>
      <c r="O66" s="7"/>
      <c r="P66" s="7"/>
    </row>
    <row r="67" spans="1:16" ht="60.75" thickBot="1" x14ac:dyDescent="0.3">
      <c r="A67" s="4" t="s">
        <v>15</v>
      </c>
      <c r="B67" s="7"/>
      <c r="C67" s="7">
        <v>-0.24341908323160755</v>
      </c>
      <c r="D67" s="7">
        <v>5.4314483967780724E-3</v>
      </c>
      <c r="E67" s="7">
        <v>0.13041465921865664</v>
      </c>
      <c r="F67" s="7">
        <v>-9.8096574567461833E-2</v>
      </c>
      <c r="G67" s="7">
        <v>-0.11560184722209914</v>
      </c>
      <c r="H67" s="7">
        <v>-0.21173489783594882</v>
      </c>
      <c r="I67" s="7">
        <v>-1.5102225591708844E-2</v>
      </c>
      <c r="J67" s="7">
        <v>-0.12056745442922863</v>
      </c>
      <c r="K67" s="7">
        <v>-0.12286223192815948</v>
      </c>
      <c r="L67" s="7">
        <v>3.811942463342146E-2</v>
      </c>
      <c r="M67" s="7">
        <v>-0.48906918940421179</v>
      </c>
      <c r="N67" s="7">
        <v>1</v>
      </c>
      <c r="O67" s="7"/>
      <c r="P67" s="7"/>
    </row>
    <row r="68" spans="1:16" ht="15.75" thickBot="1" x14ac:dyDescent="0.3">
      <c r="A68" s="4" t="s">
        <v>9</v>
      </c>
      <c r="B68" s="7"/>
      <c r="C68" s="7">
        <v>-3.3155626271594775E-2</v>
      </c>
      <c r="D68" s="7">
        <v>-0.3541912736480135</v>
      </c>
      <c r="E68" s="7">
        <v>-4.8497228623402049E-2</v>
      </c>
      <c r="F68" s="7">
        <v>-4.1690422862175745E-2</v>
      </c>
      <c r="G68" s="7">
        <v>0.10414884356232328</v>
      </c>
      <c r="H68" s="7">
        <v>3.3599755435672167E-2</v>
      </c>
      <c r="I68" s="7">
        <v>-0.29905500562107207</v>
      </c>
      <c r="J68" s="7">
        <v>-9.7205960548987863E-2</v>
      </c>
      <c r="K68" s="7">
        <v>-0.17435618610765891</v>
      </c>
      <c r="L68" s="7">
        <v>0.14996133707409687</v>
      </c>
      <c r="M68" s="7">
        <v>-0.16368290489712364</v>
      </c>
      <c r="N68" s="7">
        <v>6.5215912389611705E-2</v>
      </c>
      <c r="O68" s="7">
        <v>1</v>
      </c>
      <c r="P68" s="7"/>
    </row>
    <row r="69" spans="1:16" ht="15.75" thickBot="1" x14ac:dyDescent="0.3">
      <c r="A69" s="6" t="s">
        <v>10</v>
      </c>
      <c r="B69" s="8"/>
      <c r="C69" s="8">
        <v>-0.19372468033257279</v>
      </c>
      <c r="D69" s="8">
        <v>0.35614400920403666</v>
      </c>
      <c r="E69" s="8">
        <v>4.1545846215793464E-2</v>
      </c>
      <c r="F69" s="8">
        <v>-4.3269730838351513E-2</v>
      </c>
      <c r="G69" s="8">
        <v>-0.18433985169426723</v>
      </c>
      <c r="H69" s="8">
        <v>-0.25419217645992015</v>
      </c>
      <c r="I69" s="8">
        <v>-4.5335132361821989E-2</v>
      </c>
      <c r="J69" s="8">
        <v>0.26893024027072104</v>
      </c>
      <c r="K69" s="8">
        <v>0.46117770635730854</v>
      </c>
      <c r="L69" s="8">
        <v>-0.30250844072131622</v>
      </c>
      <c r="M69" s="8">
        <v>-2.5167926940215506E-2</v>
      </c>
      <c r="N69" s="8">
        <v>-2.432230267220796E-2</v>
      </c>
      <c r="O69" s="8">
        <v>-0.23849502505669712</v>
      </c>
      <c r="P69" s="8">
        <v>1</v>
      </c>
    </row>
    <row r="70" spans="1:16" ht="15.75" thickBot="1" x14ac:dyDescent="0.3">
      <c r="A70" s="10" t="s">
        <v>23</v>
      </c>
    </row>
    <row r="71" spans="1:16" x14ac:dyDescent="0.25">
      <c r="A71" s="9" t="s">
        <v>11</v>
      </c>
      <c r="B71" s="9" t="s">
        <v>17</v>
      </c>
      <c r="D71" s="11" t="s">
        <v>24</v>
      </c>
    </row>
    <row r="72" spans="1:16" x14ac:dyDescent="0.25">
      <c r="A72" s="7" t="s">
        <v>18</v>
      </c>
      <c r="B72" s="7">
        <v>23</v>
      </c>
      <c r="D72" s="11" t="s">
        <v>25</v>
      </c>
    </row>
    <row r="73" spans="1:16" ht="15.75" thickBot="1" x14ac:dyDescent="0.3">
      <c r="A73" s="8" t="s">
        <v>19</v>
      </c>
      <c r="B73" s="8">
        <v>27</v>
      </c>
      <c r="D73" s="11" t="s">
        <v>26</v>
      </c>
    </row>
    <row r="74" spans="1:16" x14ac:dyDescent="0.25">
      <c r="A74" s="7"/>
      <c r="B74" s="7"/>
      <c r="D74" s="11" t="s">
        <v>27</v>
      </c>
    </row>
    <row r="75" spans="1:16" x14ac:dyDescent="0.25">
      <c r="A75" s="7"/>
      <c r="B75" s="7"/>
    </row>
    <row r="76" spans="1:16" x14ac:dyDescent="0.25">
      <c r="A76" s="7"/>
      <c r="B76" s="7"/>
    </row>
    <row r="77" spans="1:16" x14ac:dyDescent="0.25">
      <c r="A77" s="7"/>
      <c r="B77" s="7"/>
    </row>
    <row r="78" spans="1:16" x14ac:dyDescent="0.25">
      <c r="A78" s="7"/>
      <c r="B78" s="7"/>
    </row>
    <row r="91" spans="1:6" ht="15.75" thickBot="1" x14ac:dyDescent="0.3">
      <c r="A91" s="10" t="s">
        <v>28</v>
      </c>
      <c r="C91" s="11" t="s">
        <v>29</v>
      </c>
      <c r="F91" s="12" t="s">
        <v>30</v>
      </c>
    </row>
    <row r="92" spans="1:6" x14ac:dyDescent="0.25">
      <c r="A92" s="9" t="s">
        <v>2</v>
      </c>
      <c r="B92" s="9" t="s">
        <v>17</v>
      </c>
      <c r="C92" t="s">
        <v>20</v>
      </c>
      <c r="D92">
        <f>AVERAGE(C2:C51)</f>
        <v>35.479999999999997</v>
      </c>
      <c r="F92" t="s">
        <v>63</v>
      </c>
    </row>
    <row r="93" spans="1:6" x14ac:dyDescent="0.25">
      <c r="A93" s="7">
        <v>17</v>
      </c>
      <c r="B93" s="7">
        <v>2</v>
      </c>
      <c r="C93" t="s">
        <v>21</v>
      </c>
      <c r="D93">
        <f>MODE(C2:C51)</f>
        <v>41</v>
      </c>
    </row>
    <row r="94" spans="1:6" x14ac:dyDescent="0.25">
      <c r="A94" s="7">
        <v>23</v>
      </c>
      <c r="B94" s="7">
        <v>9</v>
      </c>
      <c r="C94" t="s">
        <v>22</v>
      </c>
      <c r="D94">
        <f>MEDIAN(C2:C51)</f>
        <v>36</v>
      </c>
    </row>
    <row r="95" spans="1:6" x14ac:dyDescent="0.25">
      <c r="A95" s="7">
        <v>29</v>
      </c>
      <c r="B95" s="7">
        <v>5</v>
      </c>
      <c r="C95" t="s">
        <v>31</v>
      </c>
      <c r="D95">
        <f>VAR(C2:C51)</f>
        <v>127.27510204081639</v>
      </c>
    </row>
    <row r="96" spans="1:6" x14ac:dyDescent="0.25">
      <c r="A96" s="7">
        <v>35</v>
      </c>
      <c r="B96" s="7">
        <v>8</v>
      </c>
      <c r="C96" t="s">
        <v>32</v>
      </c>
      <c r="D96">
        <f>STDEV(C2:C51)</f>
        <v>11.281626746210689</v>
      </c>
    </row>
    <row r="97" spans="1:2" x14ac:dyDescent="0.25">
      <c r="A97" s="7">
        <v>41</v>
      </c>
      <c r="B97" s="7">
        <v>12</v>
      </c>
    </row>
    <row r="98" spans="1:2" x14ac:dyDescent="0.25">
      <c r="A98" s="7">
        <v>47</v>
      </c>
      <c r="B98" s="7">
        <v>8</v>
      </c>
    </row>
    <row r="99" spans="1:2" x14ac:dyDescent="0.25">
      <c r="A99" s="7">
        <v>53</v>
      </c>
      <c r="B99" s="7">
        <v>1</v>
      </c>
    </row>
    <row r="100" spans="1:2" ht="15.75" thickBot="1" x14ac:dyDescent="0.3">
      <c r="A100" s="8" t="s">
        <v>16</v>
      </c>
      <c r="B100" s="8">
        <v>5</v>
      </c>
    </row>
    <row r="117" spans="1:11" x14ac:dyDescent="0.25">
      <c r="A117" s="12" t="s">
        <v>33</v>
      </c>
    </row>
    <row r="119" spans="1:11" x14ac:dyDescent="0.25">
      <c r="A119" t="s">
        <v>34</v>
      </c>
      <c r="C119" s="12" t="s">
        <v>39</v>
      </c>
    </row>
    <row r="120" spans="1:11" ht="15.75" thickBot="1" x14ac:dyDescent="0.3">
      <c r="G120" t="s">
        <v>38</v>
      </c>
      <c r="J120" t="s">
        <v>35</v>
      </c>
    </row>
    <row r="121" spans="1:11" x14ac:dyDescent="0.25">
      <c r="A121" s="9" t="s">
        <v>37</v>
      </c>
      <c r="B121" s="9" t="s">
        <v>17</v>
      </c>
      <c r="D121" s="9" t="s">
        <v>36</v>
      </c>
      <c r="E121" s="9" t="s">
        <v>17</v>
      </c>
      <c r="G121" t="s">
        <v>20</v>
      </c>
      <c r="H121">
        <f>AVERAGE(D2:D51)</f>
        <v>2.2999999999999998</v>
      </c>
      <c r="J121" t="s">
        <v>20</v>
      </c>
      <c r="K121">
        <f>AVERAGE(E2:E51)</f>
        <v>3.2</v>
      </c>
    </row>
    <row r="122" spans="1:11" x14ac:dyDescent="0.25">
      <c r="A122" s="7">
        <v>1</v>
      </c>
      <c r="B122" s="7">
        <v>13</v>
      </c>
      <c r="D122" s="7">
        <v>1</v>
      </c>
      <c r="E122" s="7">
        <v>10</v>
      </c>
      <c r="G122" t="s">
        <v>21</v>
      </c>
      <c r="H122">
        <f>MODE(D2:D51)</f>
        <v>2</v>
      </c>
      <c r="J122" t="s">
        <v>21</v>
      </c>
      <c r="K122">
        <f>MODE(E2:E51)</f>
        <v>4</v>
      </c>
    </row>
    <row r="123" spans="1:11" x14ac:dyDescent="0.25">
      <c r="A123" s="7">
        <v>1.5714285714285714</v>
      </c>
      <c r="B123" s="7">
        <v>0</v>
      </c>
      <c r="D123" s="7">
        <v>1.5714285714285714</v>
      </c>
      <c r="E123" s="7">
        <v>0</v>
      </c>
      <c r="G123" t="s">
        <v>22</v>
      </c>
      <c r="H123">
        <f>MEDIAN(D2:D51)</f>
        <v>2</v>
      </c>
      <c r="J123" t="s">
        <v>22</v>
      </c>
      <c r="K123">
        <f>MEDIAN(E2:E51)</f>
        <v>4</v>
      </c>
    </row>
    <row r="124" spans="1:11" x14ac:dyDescent="0.25">
      <c r="A124" s="7">
        <v>2.1428571428571428</v>
      </c>
      <c r="B124" s="7">
        <v>20</v>
      </c>
      <c r="D124" s="7">
        <v>2.1428571428571428</v>
      </c>
      <c r="E124" s="7">
        <v>10</v>
      </c>
      <c r="G124" t="s">
        <v>31</v>
      </c>
      <c r="H124">
        <f>VAR(D2:D51)</f>
        <v>1.3163265306122449</v>
      </c>
      <c r="J124" t="s">
        <v>31</v>
      </c>
      <c r="K124">
        <f>VAR(E2:E51)</f>
        <v>2.3265306122448979</v>
      </c>
    </row>
    <row r="125" spans="1:11" x14ac:dyDescent="0.25">
      <c r="A125" s="7">
        <v>2.7142857142857144</v>
      </c>
      <c r="B125" s="7">
        <v>0</v>
      </c>
      <c r="D125" s="7">
        <v>2.7142857142857144</v>
      </c>
      <c r="E125" s="7">
        <v>0</v>
      </c>
      <c r="G125" t="s">
        <v>32</v>
      </c>
      <c r="H125">
        <f>STDEV(D2:D51)</f>
        <v>1.1473127431577865</v>
      </c>
      <c r="J125" t="s">
        <v>32</v>
      </c>
      <c r="K125">
        <f>STDEV(E2:E51)</f>
        <v>1.5252968931473301</v>
      </c>
    </row>
    <row r="126" spans="1:11" x14ac:dyDescent="0.25">
      <c r="A126" s="7">
        <v>3.2857142857142856</v>
      </c>
      <c r="B126" s="7">
        <v>9</v>
      </c>
      <c r="D126" s="7">
        <v>3.2857142857142856</v>
      </c>
      <c r="E126" s="7">
        <v>3</v>
      </c>
    </row>
    <row r="127" spans="1:11" x14ac:dyDescent="0.25">
      <c r="A127" s="7">
        <v>3.8571428571428568</v>
      </c>
      <c r="B127" s="7">
        <v>0</v>
      </c>
      <c r="D127" s="7">
        <v>3.8571428571428568</v>
      </c>
      <c r="E127" s="7">
        <v>0</v>
      </c>
    </row>
    <row r="128" spans="1:11" x14ac:dyDescent="0.25">
      <c r="A128" s="7">
        <v>4.4285714285714288</v>
      </c>
      <c r="B128" s="7">
        <v>5</v>
      </c>
      <c r="D128" s="7">
        <v>4.4285714285714288</v>
      </c>
      <c r="E128" s="7">
        <v>14</v>
      </c>
    </row>
    <row r="129" spans="1:5" ht="15.75" thickBot="1" x14ac:dyDescent="0.3">
      <c r="A129" s="8" t="s">
        <v>16</v>
      </c>
      <c r="B129" s="8">
        <v>3</v>
      </c>
      <c r="D129" s="8" t="s">
        <v>16</v>
      </c>
      <c r="E129" s="8">
        <v>13</v>
      </c>
    </row>
    <row r="147" spans="1:1" x14ac:dyDescent="0.25">
      <c r="A147" s="12" t="s">
        <v>40</v>
      </c>
    </row>
    <row r="148" spans="1:1" x14ac:dyDescent="0.25">
      <c r="A148" s="13"/>
    </row>
    <row r="149" spans="1:1" x14ac:dyDescent="0.25">
      <c r="A149" s="13" t="s">
        <v>41</v>
      </c>
    </row>
    <row r="150" spans="1:1" x14ac:dyDescent="0.25">
      <c r="A150" s="13"/>
    </row>
    <row r="151" spans="1:1" x14ac:dyDescent="0.25">
      <c r="A151" s="14" t="s">
        <v>42</v>
      </c>
    </row>
    <row r="167" spans="1:7" ht="15.75" thickBot="1" x14ac:dyDescent="0.3"/>
    <row r="168" spans="1:7" ht="15.75" thickBot="1" x14ac:dyDescent="0.3">
      <c r="A168" s="9"/>
      <c r="B168" s="9" t="s">
        <v>1</v>
      </c>
      <c r="C168" s="9" t="s">
        <v>44</v>
      </c>
      <c r="D168" s="9" t="s">
        <v>38</v>
      </c>
      <c r="E168" s="9" t="s">
        <v>35</v>
      </c>
      <c r="F168" s="28"/>
      <c r="G168" s="29" t="s">
        <v>64</v>
      </c>
    </row>
    <row r="169" spans="1:7" ht="15.75" thickBot="1" x14ac:dyDescent="0.3">
      <c r="A169" s="9" t="s">
        <v>1</v>
      </c>
      <c r="B169" s="7">
        <v>1</v>
      </c>
      <c r="C169" s="7"/>
      <c r="D169" s="7"/>
      <c r="E169" s="7"/>
      <c r="G169" t="s">
        <v>65</v>
      </c>
    </row>
    <row r="170" spans="1:7" x14ac:dyDescent="0.25">
      <c r="A170" s="9" t="s">
        <v>44</v>
      </c>
      <c r="B170" s="7" t="s">
        <v>43</v>
      </c>
      <c r="C170" s="7">
        <v>1</v>
      </c>
      <c r="D170" s="7"/>
      <c r="E170" s="7"/>
      <c r="G170" t="s">
        <v>66</v>
      </c>
    </row>
    <row r="171" spans="1:7" x14ac:dyDescent="0.25">
      <c r="A171" s="7" t="s">
        <v>38</v>
      </c>
      <c r="B171" s="7">
        <v>-0.18018951687885301</v>
      </c>
      <c r="C171" s="7">
        <v>-0.17375286334338264</v>
      </c>
      <c r="D171" s="7">
        <v>1</v>
      </c>
      <c r="E171" s="7" t="s">
        <v>43</v>
      </c>
      <c r="G171" t="s">
        <v>67</v>
      </c>
    </row>
    <row r="172" spans="1:7" ht="15.75" thickBot="1" x14ac:dyDescent="0.3">
      <c r="A172" s="8" t="s">
        <v>35</v>
      </c>
      <c r="B172" s="8">
        <v>-9.0357809388821986E-2</v>
      </c>
      <c r="C172" s="8">
        <v>3.4630651251946053E-2</v>
      </c>
      <c r="D172" s="8" t="s">
        <v>43</v>
      </c>
      <c r="E172" s="8">
        <v>1</v>
      </c>
    </row>
    <row r="175" spans="1:7" x14ac:dyDescent="0.25">
      <c r="A175" t="s">
        <v>45</v>
      </c>
      <c r="F175" t="s">
        <v>52</v>
      </c>
      <c r="G175" s="12"/>
    </row>
    <row r="176" spans="1:7" x14ac:dyDescent="0.25">
      <c r="D176" s="12" t="s">
        <v>53</v>
      </c>
    </row>
    <row r="177" spans="1:9" x14ac:dyDescent="0.25">
      <c r="A177" s="12" t="s">
        <v>46</v>
      </c>
    </row>
    <row r="178" spans="1:9" x14ac:dyDescent="0.25">
      <c r="A178" s="13"/>
    </row>
    <row r="179" spans="1:9" x14ac:dyDescent="0.25">
      <c r="A179" s="13" t="s">
        <v>47</v>
      </c>
    </row>
    <row r="180" spans="1:9" x14ac:dyDescent="0.25">
      <c r="A180" s="13"/>
    </row>
    <row r="181" spans="1:9" x14ac:dyDescent="0.25">
      <c r="A181" s="13" t="s">
        <v>48</v>
      </c>
    </row>
    <row r="182" spans="1:9" ht="15.75" thickBot="1" x14ac:dyDescent="0.3">
      <c r="A182" s="30" t="s">
        <v>68</v>
      </c>
      <c r="B182" s="30"/>
      <c r="C182" s="30"/>
      <c r="D182" s="30"/>
      <c r="F182" s="30" t="s">
        <v>49</v>
      </c>
      <c r="G182" s="30"/>
      <c r="H182" s="30"/>
      <c r="I182" s="30"/>
    </row>
    <row r="183" spans="1:9" ht="60.75" thickBot="1" x14ac:dyDescent="0.3">
      <c r="A183" s="22" t="s">
        <v>12</v>
      </c>
      <c r="B183" s="4" t="s">
        <v>13</v>
      </c>
      <c r="C183" s="18" t="s">
        <v>5</v>
      </c>
      <c r="D183" s="22" t="s">
        <v>14</v>
      </c>
      <c r="F183" s="18" t="s">
        <v>6</v>
      </c>
      <c r="G183" s="4" t="s">
        <v>7</v>
      </c>
      <c r="H183" s="23" t="s">
        <v>8</v>
      </c>
      <c r="I183" s="17" t="s">
        <v>15</v>
      </c>
    </row>
    <row r="184" spans="1:9" ht="15.75" thickBot="1" x14ac:dyDescent="0.3">
      <c r="A184">
        <f>AVERAGE(F2:F51)</f>
        <v>28.3</v>
      </c>
      <c r="B184">
        <f>AVERAGE(G2:G51)</f>
        <v>23.04</v>
      </c>
      <c r="C184" s="19">
        <f>AVERAGE(H2:H51)</f>
        <v>17</v>
      </c>
      <c r="D184" s="20">
        <f>AVERAGE(I2:I51)</f>
        <v>31.42</v>
      </c>
      <c r="E184" s="16" t="s">
        <v>51</v>
      </c>
      <c r="F184" s="19">
        <f>AVERAGE(J2:J51)</f>
        <v>1.52</v>
      </c>
      <c r="G184">
        <f>AVERAGE(K2:K51)</f>
        <v>1.84</v>
      </c>
      <c r="H184" s="24">
        <f>AVERAGE(L2:L51)</f>
        <v>3</v>
      </c>
      <c r="I184" s="20">
        <f>AVERAGE(M2:M51)</f>
        <v>3.72</v>
      </c>
    </row>
    <row r="185" spans="1:9" ht="15.75" thickBot="1" x14ac:dyDescent="0.3">
      <c r="A185" s="20">
        <f>MEDIAN(F2:F51)</f>
        <v>34</v>
      </c>
      <c r="B185">
        <f>MEDIAN(G2:G51)</f>
        <v>30</v>
      </c>
      <c r="C185" s="21">
        <f>MEDIAN(H2:H51)</f>
        <v>18</v>
      </c>
      <c r="D185" s="19">
        <f>MEDIAN(I2:I51)</f>
        <v>10</v>
      </c>
      <c r="E185" s="15" t="s">
        <v>22</v>
      </c>
      <c r="F185" s="19">
        <f>MEDIAN(J2:J51)</f>
        <v>1</v>
      </c>
      <c r="G185">
        <f>MEDIAN(K2:K51)</f>
        <v>2</v>
      </c>
      <c r="H185" s="24">
        <f>MEDIAN(L2:L51)</f>
        <v>3</v>
      </c>
      <c r="I185" s="20">
        <f>MEDIAN(M2:M51)</f>
        <v>4</v>
      </c>
    </row>
    <row r="187" spans="1:9" x14ac:dyDescent="0.25">
      <c r="A187" t="s">
        <v>69</v>
      </c>
      <c r="C187">
        <f>MAX(A184:D184)</f>
        <v>31.42</v>
      </c>
      <c r="F187" t="s">
        <v>50</v>
      </c>
      <c r="H187">
        <f>MAX(F184:I184)</f>
        <v>3.72</v>
      </c>
    </row>
    <row r="188" spans="1:9" x14ac:dyDescent="0.25">
      <c r="A188" t="s">
        <v>70</v>
      </c>
      <c r="G188" t="s">
        <v>72</v>
      </c>
    </row>
    <row r="189" spans="1:9" x14ac:dyDescent="0.25">
      <c r="A189" t="s">
        <v>71</v>
      </c>
      <c r="G189" t="s">
        <v>73</v>
      </c>
    </row>
    <row r="190" spans="1:9" x14ac:dyDescent="0.25">
      <c r="A190" t="s">
        <v>75</v>
      </c>
      <c r="G190" t="s">
        <v>74</v>
      </c>
    </row>
    <row r="224" spans="1:1" x14ac:dyDescent="0.25">
      <c r="A224" t="s">
        <v>54</v>
      </c>
    </row>
    <row r="226" spans="1:6" x14ac:dyDescent="0.25">
      <c r="A226" s="12" t="s">
        <v>62</v>
      </c>
    </row>
    <row r="229" spans="1:6" x14ac:dyDescent="0.25">
      <c r="B229" t="s">
        <v>55</v>
      </c>
      <c r="F229" t="s">
        <v>56</v>
      </c>
    </row>
    <row r="230" spans="1:6" x14ac:dyDescent="0.25">
      <c r="A230" t="s">
        <v>51</v>
      </c>
      <c r="B230" s="26">
        <f>AVERAGE(N2:N51)</f>
        <v>3.92</v>
      </c>
      <c r="F230" s="27">
        <f>AVERAGE(O2:O51)</f>
        <v>2.16</v>
      </c>
    </row>
    <row r="231" spans="1:6" x14ac:dyDescent="0.25">
      <c r="A231" t="s">
        <v>57</v>
      </c>
      <c r="B231" s="26">
        <f>MEDIAN(N2:N51)</f>
        <v>4</v>
      </c>
      <c r="F231" s="27">
        <f>MEDIAN(O2:O51)</f>
        <v>2</v>
      </c>
    </row>
    <row r="233" spans="1:6" x14ac:dyDescent="0.25">
      <c r="A233" s="25"/>
    </row>
    <row r="234" spans="1:6" x14ac:dyDescent="0.25">
      <c r="B234" t="s">
        <v>58</v>
      </c>
    </row>
    <row r="235" spans="1:6" x14ac:dyDescent="0.25">
      <c r="B235" t="s">
        <v>59</v>
      </c>
    </row>
    <row r="236" spans="1:6" x14ac:dyDescent="0.25">
      <c r="B236" t="s">
        <v>60</v>
      </c>
    </row>
    <row r="237" spans="1:6" x14ac:dyDescent="0.25">
      <c r="B237" t="s">
        <v>61</v>
      </c>
    </row>
  </sheetData>
  <mergeCells count="2">
    <mergeCell ref="A182:D182"/>
    <mergeCell ref="F182:I18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Dembovetskiy Maksim</dc:creator>
  <cp:lastModifiedBy>Dembovetskiy Maksim</cp:lastModifiedBy>
  <dcterms:created xsi:type="dcterms:W3CDTF">2015-06-05T18:19:34Z</dcterms:created>
  <dcterms:modified xsi:type="dcterms:W3CDTF">2025-06-05T21:00:01Z</dcterms:modified>
</cp:coreProperties>
</file>