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MDem\Desktop\статистика\"/>
    </mc:Choice>
  </mc:AlternateContent>
  <xr:revisionPtr revIDLastSave="0" documentId="13_ncr:1_{C5CCB32E-39C6-4913-A83B-C69D6B924A6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Задание 1" sheetId="1" r:id="rId1"/>
    <sheet name="задание 2" sheetId="2" r:id="rId2"/>
    <sheet name="задание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3" l="1"/>
  <c r="C4" i="3"/>
  <c r="C12" i="3"/>
  <c r="C11" i="3"/>
  <c r="C10" i="3" l="1"/>
  <c r="E2" i="3"/>
  <c r="C3" i="3"/>
  <c r="C2" i="3"/>
  <c r="C1" i="3"/>
  <c r="C8" i="2"/>
  <c r="C7" i="2"/>
  <c r="C6" i="2"/>
  <c r="C5" i="2"/>
  <c r="C4" i="2"/>
  <c r="C3" i="2"/>
  <c r="C4" i="1"/>
  <c r="C5" i="1"/>
  <c r="C8" i="1" s="1"/>
  <c r="C1" i="2"/>
  <c r="C2" i="2"/>
  <c r="C3" i="1"/>
  <c r="C2" i="1"/>
  <c r="C1" i="1"/>
  <c r="C8" i="3" l="1"/>
  <c r="C6" i="1"/>
  <c r="C7" i="1"/>
  <c r="C6" i="3" l="1"/>
  <c r="C7" i="3"/>
</calcChain>
</file>

<file path=xl/sharedStrings.xml><?xml version="1.0" encoding="utf-8"?>
<sst xmlns="http://schemas.openxmlformats.org/spreadsheetml/2006/main" count="30" uniqueCount="17">
  <si>
    <t>кол-во вариант n=</t>
  </si>
  <si>
    <t>ср. знач</t>
  </si>
  <si>
    <t>станд. Откл.</t>
  </si>
  <si>
    <t>станд. Ошибка среднего</t>
  </si>
  <si>
    <t>полуширина дов.инт</t>
  </si>
  <si>
    <t>нижняя граница инт</t>
  </si>
  <si>
    <t>верхняя граница инт</t>
  </si>
  <si>
    <t>дов интервал</t>
  </si>
  <si>
    <t>Среднее общей популяции</t>
  </si>
  <si>
    <t>среднее выборки</t>
  </si>
  <si>
    <t>полуширина дов инт</t>
  </si>
  <si>
    <t>счет</t>
  </si>
  <si>
    <t>среднее=</t>
  </si>
  <si>
    <t>Отличие совокупности от выборки</t>
  </si>
  <si>
    <t>дисперсия</t>
  </si>
  <si>
    <t>крит знач</t>
  </si>
  <si>
    <t>ф(х)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</si>
</sst>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180975</xdr:colOff>
      <xdr:row>0</xdr:row>
      <xdr:rowOff>161925</xdr:rowOff>
    </xdr:from>
    <xdr:to>
      <xdr:col>5</xdr:col>
      <xdr:colOff>314156</xdr:colOff>
      <xdr:row>3</xdr:row>
      <xdr:rowOff>47568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8037EB8-7D2E-49C0-9409-73C894AD1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" y="161925"/>
          <a:ext cx="1352381" cy="4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activeCell="H13" sqref="H13"/>
    </sheetView>
  </sheetViews>
  <sheetFormatPr defaultRowHeight="15" x14ac:dyDescent="0.25"/>
  <cols>
    <col min="2" max="2" width="28.140625" customWidth="1"/>
  </cols>
  <sheetData>
    <row r="1" spans="1:3" x14ac:dyDescent="0.25">
      <c r="A1">
        <v>1.33</v>
      </c>
      <c r="B1" t="s">
        <v>0</v>
      </c>
      <c r="C1">
        <f>COUNT(A1:A15)</f>
        <v>15</v>
      </c>
    </row>
    <row r="2" spans="1:3" x14ac:dyDescent="0.25">
      <c r="A2">
        <v>1</v>
      </c>
      <c r="B2" t="s">
        <v>1</v>
      </c>
      <c r="C2">
        <f>AVERAGE(A1:A15)</f>
        <v>1.3606666666666665</v>
      </c>
    </row>
    <row r="3" spans="1:3" x14ac:dyDescent="0.25">
      <c r="A3">
        <v>1.54</v>
      </c>
      <c r="B3" t="s">
        <v>2</v>
      </c>
      <c r="C3">
        <f>STDEV(A1:A15)</f>
        <v>0.21298781543508613</v>
      </c>
    </row>
    <row r="4" spans="1:3" x14ac:dyDescent="0.25">
      <c r="A4">
        <v>1.1000000000000001</v>
      </c>
      <c r="B4" t="s">
        <v>3</v>
      </c>
      <c r="C4">
        <f>C3/SQRT(C1)</f>
        <v>5.4993217475012506E-2</v>
      </c>
    </row>
    <row r="5" spans="1:3" x14ac:dyDescent="0.25">
      <c r="A5">
        <v>1.45</v>
      </c>
      <c r="B5" t="s">
        <v>4</v>
      </c>
      <c r="C5">
        <f>2*C4</f>
        <v>0.10998643495002501</v>
      </c>
    </row>
    <row r="6" spans="1:3" x14ac:dyDescent="0.25">
      <c r="A6">
        <v>1.33</v>
      </c>
      <c r="B6" t="s">
        <v>5</v>
      </c>
      <c r="C6">
        <f>C2-C5</f>
        <v>1.2506802317166414</v>
      </c>
    </row>
    <row r="7" spans="1:3" x14ac:dyDescent="0.25">
      <c r="A7">
        <v>1.25</v>
      </c>
      <c r="B7" t="s">
        <v>6</v>
      </c>
      <c r="C7">
        <f>C2+C5</f>
        <v>1.4706531016166915</v>
      </c>
    </row>
    <row r="8" spans="1:3" x14ac:dyDescent="0.25">
      <c r="A8">
        <v>1.65</v>
      </c>
      <c r="B8" t="s">
        <v>7</v>
      </c>
      <c r="C8">
        <f>C5*SQRT(C1)</f>
        <v>0.42597563087017226</v>
      </c>
    </row>
    <row r="9" spans="1:3" x14ac:dyDescent="0.25">
      <c r="A9">
        <v>1.42</v>
      </c>
    </row>
    <row r="10" spans="1:3" x14ac:dyDescent="0.25">
      <c r="A10">
        <v>1.36</v>
      </c>
    </row>
    <row r="11" spans="1:3" x14ac:dyDescent="0.25">
      <c r="A11">
        <v>1.2</v>
      </c>
    </row>
    <row r="12" spans="1:3" x14ac:dyDescent="0.25">
      <c r="A12">
        <v>1.17</v>
      </c>
    </row>
    <row r="13" spans="1:3" x14ac:dyDescent="0.25">
      <c r="A13">
        <v>1.75</v>
      </c>
    </row>
    <row r="14" spans="1:3" x14ac:dyDescent="0.25">
      <c r="A14">
        <v>1.62</v>
      </c>
    </row>
    <row r="15" spans="1:3" x14ac:dyDescent="0.25">
      <c r="A15">
        <v>1.24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7BC0-948F-441B-8BB3-A3F68B54D967}">
  <dimension ref="A1:C12"/>
  <sheetViews>
    <sheetView workbookViewId="0">
      <selection activeCell="B24" sqref="B24"/>
    </sheetView>
  </sheetViews>
  <sheetFormatPr defaultRowHeight="15" x14ac:dyDescent="0.25"/>
  <cols>
    <col min="1" max="1" width="19" customWidth="1"/>
    <col min="2" max="2" width="24.5703125" customWidth="1"/>
  </cols>
  <sheetData>
    <row r="1" spans="1:3" x14ac:dyDescent="0.25">
      <c r="A1">
        <v>138</v>
      </c>
      <c r="B1" t="s">
        <v>11</v>
      </c>
      <c r="C1">
        <f>COUNT(A1:A10)</f>
        <v>10</v>
      </c>
    </row>
    <row r="2" spans="1:3" x14ac:dyDescent="0.25">
      <c r="A2">
        <v>139</v>
      </c>
      <c r="B2" t="s">
        <v>9</v>
      </c>
      <c r="C2">
        <f>AVERAGE(A1:A10)</f>
        <v>133.6</v>
      </c>
    </row>
    <row r="3" spans="1:3" x14ac:dyDescent="0.25">
      <c r="A3">
        <v>134</v>
      </c>
      <c r="B3" t="s">
        <v>2</v>
      </c>
      <c r="C3">
        <f>STDEV(A1:A10)</f>
        <v>5.561774297230456</v>
      </c>
    </row>
    <row r="4" spans="1:3" x14ac:dyDescent="0.25">
      <c r="A4">
        <v>128</v>
      </c>
      <c r="B4" t="s">
        <v>3</v>
      </c>
      <c r="C4">
        <f>C3/SQRT(C1)</f>
        <v>1.7587874611030558</v>
      </c>
    </row>
    <row r="5" spans="1:3" x14ac:dyDescent="0.25">
      <c r="A5">
        <v>130</v>
      </c>
      <c r="B5" t="s">
        <v>10</v>
      </c>
      <c r="C5">
        <f>2*C4</f>
        <v>3.5175749222061117</v>
      </c>
    </row>
    <row r="6" spans="1:3" x14ac:dyDescent="0.25">
      <c r="A6">
        <v>145</v>
      </c>
      <c r="B6" t="s">
        <v>5</v>
      </c>
      <c r="C6">
        <f>C2-C5</f>
        <v>130.08242507779389</v>
      </c>
    </row>
    <row r="7" spans="1:3" x14ac:dyDescent="0.25">
      <c r="A7">
        <v>128</v>
      </c>
      <c r="B7" t="s">
        <v>6</v>
      </c>
      <c r="C7">
        <f>C2+C5</f>
        <v>137.1175749222061</v>
      </c>
    </row>
    <row r="8" spans="1:3" x14ac:dyDescent="0.25">
      <c r="A8">
        <v>129</v>
      </c>
      <c r="B8" t="s">
        <v>7</v>
      </c>
      <c r="C8">
        <f>C5*SQRT(C1)</f>
        <v>11.123548594460912</v>
      </c>
    </row>
    <row r="9" spans="1:3" x14ac:dyDescent="0.25">
      <c r="A9">
        <v>132</v>
      </c>
    </row>
    <row r="10" spans="1:3" x14ac:dyDescent="0.25">
      <c r="A10">
        <v>133</v>
      </c>
    </row>
    <row r="12" spans="1:3" ht="30" x14ac:dyDescent="0.25">
      <c r="A12" s="1" t="s">
        <v>8</v>
      </c>
      <c r="B12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28E81-2022-4F32-B653-CCDD73C2EEC3}">
  <dimension ref="A1:E25"/>
  <sheetViews>
    <sheetView tabSelected="1" workbookViewId="0">
      <selection activeCell="E8" sqref="E8"/>
    </sheetView>
  </sheetViews>
  <sheetFormatPr defaultRowHeight="15" x14ac:dyDescent="0.25"/>
  <cols>
    <col min="2" max="2" width="25.7109375" customWidth="1"/>
    <col min="4" max="4" width="20.28515625" customWidth="1"/>
  </cols>
  <sheetData>
    <row r="1" spans="1:5" x14ac:dyDescent="0.25">
      <c r="A1">
        <v>9</v>
      </c>
      <c r="B1" t="s">
        <v>11</v>
      </c>
      <c r="C1">
        <f>COUNT(A1:A23)</f>
        <v>23</v>
      </c>
    </row>
    <row r="2" spans="1:5" ht="45" x14ac:dyDescent="0.25">
      <c r="A2">
        <v>15</v>
      </c>
      <c r="B2" t="s">
        <v>9</v>
      </c>
      <c r="C2">
        <f>AVERAGE(A1:A23)</f>
        <v>10.173913043478262</v>
      </c>
      <c r="D2" s="1" t="s">
        <v>13</v>
      </c>
      <c r="E2">
        <f>B25-C2</f>
        <v>1.8260869565217384</v>
      </c>
    </row>
    <row r="3" spans="1:5" x14ac:dyDescent="0.25">
      <c r="A3">
        <v>1</v>
      </c>
      <c r="B3" t="s">
        <v>2</v>
      </c>
      <c r="C3">
        <f>STDEV(A1:A23)</f>
        <v>4.6676076596927185</v>
      </c>
    </row>
    <row r="4" spans="1:5" x14ac:dyDescent="0.25">
      <c r="A4">
        <v>3</v>
      </c>
      <c r="B4" t="s">
        <v>3</v>
      </c>
      <c r="C4">
        <f>C3/SQRT(C1)</f>
        <v>0.97326347620914133</v>
      </c>
    </row>
    <row r="5" spans="1:5" x14ac:dyDescent="0.25">
      <c r="A5">
        <v>9</v>
      </c>
      <c r="B5" t="s">
        <v>10</v>
      </c>
      <c r="C5">
        <f>2*C4</f>
        <v>1.9465269524182827</v>
      </c>
    </row>
    <row r="6" spans="1:5" x14ac:dyDescent="0.25">
      <c r="A6">
        <v>15</v>
      </c>
      <c r="B6" t="s">
        <v>5</v>
      </c>
      <c r="C6">
        <f>C2-C5</f>
        <v>8.2273860910599783</v>
      </c>
    </row>
    <row r="7" spans="1:5" x14ac:dyDescent="0.25">
      <c r="A7">
        <v>14</v>
      </c>
      <c r="B7" t="s">
        <v>6</v>
      </c>
      <c r="C7">
        <f>C2+C5</f>
        <v>12.120439995896545</v>
      </c>
    </row>
    <row r="8" spans="1:5" x14ac:dyDescent="0.25">
      <c r="A8">
        <v>17</v>
      </c>
      <c r="B8" t="s">
        <v>7</v>
      </c>
      <c r="C8">
        <f>C5*SQRT(C1)</f>
        <v>9.335215319385437</v>
      </c>
    </row>
    <row r="9" spans="1:5" x14ac:dyDescent="0.25">
      <c r="A9">
        <v>8</v>
      </c>
    </row>
    <row r="10" spans="1:5" x14ac:dyDescent="0.25">
      <c r="A10">
        <v>16</v>
      </c>
      <c r="B10" t="s">
        <v>14</v>
      </c>
      <c r="C10">
        <f>VAR(A1:A23)</f>
        <v>21.786561264822137</v>
      </c>
    </row>
    <row r="11" spans="1:5" x14ac:dyDescent="0.25">
      <c r="A11">
        <v>13</v>
      </c>
      <c r="B11" t="s">
        <v>15</v>
      </c>
      <c r="C11">
        <f>(1-2*0.05)/2</f>
        <v>0.45</v>
      </c>
    </row>
    <row r="12" spans="1:5" x14ac:dyDescent="0.25">
      <c r="A12">
        <v>15</v>
      </c>
      <c r="B12" t="s">
        <v>16</v>
      </c>
      <c r="C12">
        <f>-0.5+NORMSDIST(C11)</f>
        <v>0.17364477971208003</v>
      </c>
    </row>
    <row r="13" spans="1:5" x14ac:dyDescent="0.25">
      <c r="A13">
        <v>6</v>
      </c>
    </row>
    <row r="14" spans="1:5" x14ac:dyDescent="0.25">
      <c r="A14">
        <v>16</v>
      </c>
    </row>
    <row r="15" spans="1:5" x14ac:dyDescent="0.25">
      <c r="A15">
        <v>9</v>
      </c>
    </row>
    <row r="16" spans="1:5" x14ac:dyDescent="0.25">
      <c r="A16">
        <v>7</v>
      </c>
    </row>
    <row r="17" spans="1:2" x14ac:dyDescent="0.25">
      <c r="A17">
        <v>11</v>
      </c>
    </row>
    <row r="18" spans="1:2" x14ac:dyDescent="0.25">
      <c r="A18">
        <v>7</v>
      </c>
    </row>
    <row r="19" spans="1:2" x14ac:dyDescent="0.25">
      <c r="A19">
        <v>11</v>
      </c>
    </row>
    <row r="20" spans="1:2" x14ac:dyDescent="0.25">
      <c r="A20">
        <v>10</v>
      </c>
    </row>
    <row r="21" spans="1:2" x14ac:dyDescent="0.25">
      <c r="A21">
        <v>9</v>
      </c>
    </row>
    <row r="22" spans="1:2" x14ac:dyDescent="0.25">
      <c r="A22">
        <v>12</v>
      </c>
    </row>
    <row r="23" spans="1:2" x14ac:dyDescent="0.25">
      <c r="A23">
        <v>1</v>
      </c>
    </row>
    <row r="25" spans="1:2" x14ac:dyDescent="0.25">
      <c r="A25" t="s">
        <v>12</v>
      </c>
      <c r="B2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</vt:lpstr>
      <vt:lpstr>задание 2</vt:lpstr>
      <vt:lpstr>задание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Dembovetskiy Maksim</dc:creator>
  <cp:lastModifiedBy>Dembovetskiy Maksim</cp:lastModifiedBy>
  <dcterms:created xsi:type="dcterms:W3CDTF">2015-06-05T18:19:34Z</dcterms:created>
  <dcterms:modified xsi:type="dcterms:W3CDTF">2025-06-02T17:31:14Z</dcterms:modified>
</cp:coreProperties>
</file>