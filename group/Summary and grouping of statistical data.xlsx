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MDem\Desktop\статистика\"/>
    </mc:Choice>
  </mc:AlternateContent>
  <xr:revisionPtr revIDLastSave="0" documentId="13_ncr:1_{33DEFE9C-C225-40E6-B0D4-2000AF6BD17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Задание 1" sheetId="1" r:id="rId1"/>
    <sheet name="Задание 2" sheetId="3" r:id="rId2"/>
    <sheet name="Данные для задания 2" sheetId="2" r:id="rId3"/>
  </sheets>
  <definedNames>
    <definedName name="_xlchart.v1.0" hidden="1">'Задание 2'!$A$3:$A$15</definedName>
    <definedName name="_xlchart.v1.1" hidden="1">'Задание 2'!$B$3:$B$15</definedName>
    <definedName name="_xlchart.v1.10" hidden="1">'Задание 2'!$F$3:$F$32</definedName>
    <definedName name="_xlchart.v1.2" hidden="1">'Задание 2'!$H$29</definedName>
    <definedName name="_xlchart.v1.3" hidden="1">'Задание 2'!$H$30:$H$34</definedName>
    <definedName name="_xlchart.v1.4" hidden="1">'Задание 2'!$I$29</definedName>
    <definedName name="_xlchart.v1.5" hidden="1">'Задание 2'!$I$30:$I$34</definedName>
    <definedName name="_xlchart.v1.6" hidden="1">'Задание 2'!$H$29</definedName>
    <definedName name="_xlchart.v1.7" hidden="1">'Задание 2'!$H$30:$H$34</definedName>
    <definedName name="_xlchart.v1.8" hidden="1">'Задание 2'!$I$29</definedName>
    <definedName name="_xlchart.v1.9" hidden="1">'Задание 2'!$I$30:$I$34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8" i="1" l="1"/>
  <c r="B15" i="1"/>
  <c r="C10" i="3"/>
  <c r="G80" i="1"/>
  <c r="E32" i="1"/>
  <c r="E37" i="1"/>
  <c r="B32" i="1"/>
  <c r="B51" i="1" l="1"/>
  <c r="B11" i="3" l="1"/>
  <c r="B4" i="3" l="1"/>
  <c r="B15" i="3"/>
  <c r="B7" i="3"/>
  <c r="B9" i="3"/>
  <c r="B14" i="3"/>
  <c r="B13" i="3"/>
  <c r="B12" i="3"/>
  <c r="B8" i="3"/>
  <c r="B5" i="3"/>
  <c r="B6" i="3"/>
  <c r="B3" i="3"/>
  <c r="B102" i="1"/>
  <c r="B101" i="1"/>
  <c r="B100" i="1"/>
  <c r="B23" i="1"/>
  <c r="B56" i="1"/>
  <c r="B55" i="1"/>
  <c r="B54" i="1"/>
  <c r="B53" i="1"/>
  <c r="B52" i="1"/>
  <c r="B21" i="1"/>
  <c r="B63" i="1" l="1"/>
  <c r="E77" i="1"/>
  <c r="B33" i="1"/>
  <c r="B67" i="1"/>
  <c r="E81" i="1"/>
  <c r="E79" i="1"/>
  <c r="B77" i="1"/>
  <c r="B13" i="1"/>
  <c r="B12" i="1"/>
  <c r="B65" i="1"/>
  <c r="B66" i="1" l="1"/>
  <c r="F81" i="1" s="1"/>
  <c r="B62" i="1"/>
  <c r="F77" i="1" s="1"/>
  <c r="B64" i="1"/>
  <c r="F79" i="1" s="1"/>
  <c r="F82" i="1"/>
  <c r="F80" i="1"/>
  <c r="F78" i="1"/>
  <c r="B43" i="1"/>
  <c r="E80" i="1"/>
  <c r="E82" i="1"/>
  <c r="E78" i="1"/>
  <c r="G79" i="1" l="1"/>
  <c r="G81" i="1" s="1"/>
  <c r="G82" i="1" s="1"/>
  <c r="E83" i="1"/>
  <c r="F83" i="1"/>
  <c r="B34" i="1" l="1"/>
  <c r="D77" i="1"/>
  <c r="C77" i="1"/>
  <c r="E33" i="1" l="1"/>
  <c r="B78" i="1"/>
  <c r="B79" i="1"/>
  <c r="B35" i="1"/>
  <c r="E34" i="1"/>
  <c r="B44" i="1" l="1"/>
  <c r="D78" i="1" s="1"/>
  <c r="C78" i="1"/>
  <c r="B45" i="1"/>
  <c r="D79" i="1" s="1"/>
  <c r="C79" i="1"/>
  <c r="B80" i="1"/>
  <c r="B36" i="1"/>
  <c r="E35" i="1"/>
  <c r="B46" i="1" l="1"/>
  <c r="D80" i="1" s="1"/>
  <c r="C80" i="1"/>
  <c r="B81" i="1"/>
  <c r="B37" i="1"/>
  <c r="E36" i="1"/>
  <c r="B47" i="1" l="1"/>
  <c r="D81" i="1" s="1"/>
  <c r="C81" i="1"/>
  <c r="B82" i="1"/>
  <c r="C82" i="1"/>
  <c r="B48" i="1" l="1"/>
  <c r="D82" i="1" s="1"/>
</calcChain>
</file>

<file path=xl/sharedStrings.xml><?xml version="1.0" encoding="utf-8"?>
<sst xmlns="http://schemas.openxmlformats.org/spreadsheetml/2006/main" count="97" uniqueCount="85">
  <si>
    <t>№ предприятий</t>
  </si>
  <si>
    <t>Определяем Максимальное и Минимальное элемент ранжирования</t>
  </si>
  <si>
    <t>Х maх</t>
  </si>
  <si>
    <t>х min</t>
  </si>
  <si>
    <t>Rx =</t>
  </si>
  <si>
    <t>k=</t>
  </si>
  <si>
    <t xml:space="preserve">Зная число групп, определите величину интервала b = Rx/k </t>
  </si>
  <si>
    <t>b=</t>
  </si>
  <si>
    <t>Определите левые и правые границы отдельных групп:</t>
  </si>
  <si>
    <t>X1=</t>
  </si>
  <si>
    <t>X1(Лев)=</t>
  </si>
  <si>
    <t>X1(Прав)=</t>
  </si>
  <si>
    <t>x2(Лев)=</t>
  </si>
  <si>
    <t>X3(Лев)=</t>
  </si>
  <si>
    <t>X4(Лев)=</t>
  </si>
  <si>
    <t>X5(Лев)=</t>
  </si>
  <si>
    <t>X6(Лев)=</t>
  </si>
  <si>
    <t>X2(Прав)=</t>
  </si>
  <si>
    <t>X3(Прав)=</t>
  </si>
  <si>
    <t>X4(Прав)=</t>
  </si>
  <si>
    <t>X5(Прав)=</t>
  </si>
  <si>
    <t>X6(Прав)=</t>
  </si>
  <si>
    <t>X2=</t>
  </si>
  <si>
    <t>X3=</t>
  </si>
  <si>
    <t>X4=</t>
  </si>
  <si>
    <t>X5=</t>
  </si>
  <si>
    <t>X6=</t>
  </si>
  <si>
    <t>7. Определить частоту попадания  Fj случайной величины в j-й класс.</t>
  </si>
  <si>
    <t>p1=</t>
  </si>
  <si>
    <t>p2=</t>
  </si>
  <si>
    <t>p3=</t>
  </si>
  <si>
    <t>p4=</t>
  </si>
  <si>
    <t>p6=</t>
  </si>
  <si>
    <t>p5=</t>
  </si>
  <si>
    <t>Номер группы j</t>
  </si>
  <si>
    <t>Сумма:</t>
  </si>
  <si>
    <t>xj</t>
  </si>
  <si>
    <t>fj</t>
  </si>
  <si>
    <t>pj</t>
  </si>
  <si>
    <t>Sнак</t>
  </si>
  <si>
    <t>xj лев</t>
  </si>
  <si>
    <t>xjправ</t>
  </si>
  <si>
    <t>-</t>
  </si>
  <si>
    <t>Групп слишком много уменбшим их до трех</t>
  </si>
  <si>
    <t>Данные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</si>
  <si>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</si>
  <si>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</si>
  <si>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</si>
  <si>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</si>
  <si>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</si>
  <si>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</si>
  <si>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</si>
  <si>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</si>
  <si>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</si>
  <si>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</si>
  <si>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</si>
  <si>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</si>
  <si>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</si>
  <si>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</si>
  <si>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Депозиты физ лиц</t>
  </si>
  <si>
    <t>к= 1+1,4*Ln(n) n= кол-во банков</t>
  </si>
  <si>
    <t>Число банков</t>
  </si>
  <si>
    <t>Группировка банков по величене депозита физ лиц</t>
  </si>
  <si>
    <t>Группы  велечин депозита физ лиц</t>
  </si>
  <si>
    <t>По формуле Стерджесса определите число групп, на которое надо разбить исследуемую
выборку из 38 банков:</t>
  </si>
  <si>
    <t>6. Определите среднее значения депозита в середине каждой группы:</t>
  </si>
  <si>
    <t>Xj(1)</t>
  </si>
  <si>
    <t>xj(2)</t>
  </si>
  <si>
    <t>xj(3)</t>
  </si>
  <si>
    <t>xj(4)</t>
  </si>
  <si>
    <t>xj(5)</t>
  </si>
  <si>
    <t>xj(6)</t>
  </si>
  <si>
    <t>102-460</t>
  </si>
  <si>
    <t>460-819</t>
  </si>
  <si>
    <t>819-1177</t>
  </si>
  <si>
    <t>1177-1535</t>
  </si>
  <si>
    <t>1535-1894</t>
  </si>
  <si>
    <t>1894-2285</t>
  </si>
  <si>
    <t>102-819</t>
  </si>
  <si>
    <t>819-1535</t>
  </si>
  <si>
    <t>1535-2285</t>
  </si>
  <si>
    <t>вар 4</t>
  </si>
  <si>
    <t>Карман</t>
  </si>
  <si>
    <t>Еще</t>
  </si>
  <si>
    <t>Частота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</si>
</sst>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2C2D2E"/>
      <name val="Arial"/>
      <family val="2"/>
      <charset val="204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Fill="1" applyBorder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'Задание 2'!$B$1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'Задание 2'!$A$2:$A$15</c:f>
              <c:strCache>
                <c:ptCount val="14"/>
                <c:pt idx="1">
                  <c:v>Среднее</c:v>
                </c:pt>
                <c:pt idx="2">
                  <c:v>Стандартная ошибка</c:v>
                </c:pt>
                <c:pt idx="3">
                  <c:v>Медиана</c:v>
                </c:pt>
                <c:pt idx="4">
                  <c:v>Мода</c:v>
                </c:pt>
                <c:pt idx="5">
                  <c:v>Стандартное отклонение</c:v>
                </c:pt>
                <c:pt idx="6">
                  <c:v>Дисперсия выборки</c:v>
                </c:pt>
                <c:pt idx="7">
                  <c:v>Эксцесс</c:v>
                </c:pt>
                <c:pt idx="8">
                  <c:v>Асимметричность</c:v>
                </c:pt>
                <c:pt idx="9">
                  <c:v>Интервал</c:v>
                </c:pt>
                <c:pt idx="10">
                  <c:v>Минимум</c:v>
                </c:pt>
                <c:pt idx="11">
                  <c:v>Максимум</c:v>
                </c:pt>
                <c:pt idx="12">
                  <c:v>Сумма</c:v>
                </c:pt>
                <c:pt idx="13">
                  <c:v>Счет</c:v>
                </c:pt>
              </c:strCache>
            </c:strRef>
          </c:cat>
          <c:val>
            <c:numRef>
              <c:f>'Задание 2'!$B$2:$B$15</c:f>
              <c:numCache>
                <c:formatCode>General</c:formatCode>
                <c:ptCount val="14"/>
                <c:pt idx="1">
                  <c:v>15.6</c:v>
                </c:pt>
                <c:pt idx="2">
                  <c:v>1.3197004188081092</c:v>
                </c:pt>
                <c:pt idx="3">
                  <c:v>14.5</c:v>
                </c:pt>
                <c:pt idx="4">
                  <c:v>14</c:v>
                </c:pt>
                <c:pt idx="5">
                  <c:v>7.2282968853021634</c:v>
                </c:pt>
                <c:pt idx="6">
                  <c:v>52.248275862068958</c:v>
                </c:pt>
                <c:pt idx="7">
                  <c:v>1.8838074757411012</c:v>
                </c:pt>
                <c:pt idx="8">
                  <c:v>1.3070402889767501</c:v>
                </c:pt>
                <c:pt idx="9">
                  <c:v>34</c:v>
                </c:pt>
                <c:pt idx="10">
                  <c:v>4</c:v>
                </c:pt>
                <c:pt idx="11">
                  <c:v>38</c:v>
                </c:pt>
                <c:pt idx="12">
                  <c:v>468</c:v>
                </c:pt>
                <c:pt idx="1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2-4C65-BEA5-71F4EF1BD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5057647"/>
        <c:axId val="1135061967"/>
      </c:barChart>
      <c:catAx>
        <c:axId val="113505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5061967"/>
        <c:crosses val="autoZero"/>
        <c:auto val="1"/>
        <c:lblAlgn val="ctr"/>
        <c:lblOffset val="100"/>
        <c:noMultiLvlLbl val="0"/>
      </c:catAx>
      <c:valAx>
        <c:axId val="113506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505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2'!$I$29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'Задание 2'!$H$30:$H$34</c:f>
              <c:numCache>
                <c:formatCode>General</c:formatCode>
                <c:ptCount val="5"/>
                <c:pt idx="0">
                  <c:v>4</c:v>
                </c:pt>
                <c:pt idx="1">
                  <c:v>10.8</c:v>
                </c:pt>
                <c:pt idx="2">
                  <c:v>17.600000000000001</c:v>
                </c:pt>
                <c:pt idx="3">
                  <c:v>24.4</c:v>
                </c:pt>
                <c:pt idx="4">
                  <c:v>31.2</c:v>
                </c:pt>
              </c:numCache>
            </c:numRef>
          </c:cat>
          <c:val>
            <c:numRef>
              <c:f>'Задание 2'!$I$30:$I$34</c:f>
              <c:numCache>
                <c:formatCode>General</c:formatCode>
                <c:ptCount val="5"/>
                <c:pt idx="0">
                  <c:v>1</c:v>
                </c:pt>
                <c:pt idx="1">
                  <c:v>6</c:v>
                </c:pt>
                <c:pt idx="2">
                  <c:v>14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3-4DA9-AA4F-4A5183E83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273008"/>
        <c:axId val="858263024"/>
      </c:barChart>
      <c:catAx>
        <c:axId val="85827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8263024"/>
        <c:crosses val="autoZero"/>
        <c:auto val="1"/>
        <c:lblAlgn val="ctr"/>
        <c:lblOffset val="100"/>
        <c:noMultiLvlLbl val="0"/>
      </c:catAx>
      <c:valAx>
        <c:axId val="85826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827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/>
    <cx:plotArea>
      <cx:plotAreaRegion>
        <cx:series layoutId="boxWhisker" uniqueId="{3EC1DFB7-DF2E-4E1D-82D3-3F204E36EAD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57150</xdr:rowOff>
    </xdr:from>
    <xdr:to>
      <xdr:col>2</xdr:col>
      <xdr:colOff>278385</xdr:colOff>
      <xdr:row>30</xdr:row>
      <xdr:rowOff>179160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7A389C8-9D98-4634-8DF4-53B6342AC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81650"/>
          <a:ext cx="2888235" cy="1074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5</xdr:col>
      <xdr:colOff>606232</xdr:colOff>
      <xdr:row>40</xdr:row>
      <xdr:rowOff>137188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7560988-ABDB-94C6-ADB7-A8C3DFF8A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5098222" cy="3200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76201</xdr:rowOff>
    </xdr:from>
    <xdr:to>
      <xdr:col>4</xdr:col>
      <xdr:colOff>527457</xdr:colOff>
      <xdr:row>59</xdr:row>
      <xdr:rowOff>175261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B936701-D317-DE59-5F79-D2FD8441B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49001"/>
          <a:ext cx="4409847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4</xdr:col>
      <xdr:colOff>582930</xdr:colOff>
      <xdr:row>73</xdr:row>
      <xdr:rowOff>33759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1C1213A0-B672-B224-BC51-2A19F4048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67360"/>
          <a:ext cx="4465320" cy="948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16</xdr:row>
      <xdr:rowOff>22860</xdr:rowOff>
    </xdr:from>
    <xdr:to>
      <xdr:col>4</xdr:col>
      <xdr:colOff>352425</xdr:colOff>
      <xdr:row>31</xdr:row>
      <xdr:rowOff>108585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68FCC83-DA43-A142-78EF-5D6907190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20</xdr:row>
      <xdr:rowOff>109537</xdr:rowOff>
    </xdr:from>
    <xdr:to>
      <xdr:col>16</xdr:col>
      <xdr:colOff>571500</xdr:colOff>
      <xdr:row>34</xdr:row>
      <xdr:rowOff>176212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82DCABAE-596D-4857-9FB9-4E24D6351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371475</xdr:colOff>
      <xdr:row>4</xdr:row>
      <xdr:rowOff>128587</xdr:rowOff>
    </xdr:from>
    <xdr:to>
      <xdr:col>25</xdr:col>
      <xdr:colOff>66675</xdr:colOff>
      <xdr:row>18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Диаграмма 12">
              <a:extLst>
                <a:ext uri="{FF2B5EF4-FFF2-40B4-BE49-F238E27FC236}">
                  <a16:creationId xmlns:a16="http://schemas.microsoft.com/office/drawing/2014/main" id="{FD6BD445-F391-4C17-8291-195E7A32AD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53950" y="9477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opLeftCell="A80" workbookViewId="0">
      <selection activeCell="G97" sqref="G97"/>
    </sheetView>
  </sheetViews>
  <sheetFormatPr defaultRowHeight="15" x14ac:dyDescent="0.25"/>
  <cols>
    <col min="1" max="1" width="29.7109375" customWidth="1"/>
    <col min="2" max="2" width="9.42578125" customWidth="1"/>
  </cols>
  <sheetData>
    <row r="1" spans="1:13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3" x14ac:dyDescent="0.25">
      <c r="A2" s="1" t="s">
        <v>59</v>
      </c>
      <c r="B2" s="1">
        <v>584</v>
      </c>
      <c r="C2" s="1">
        <v>1030</v>
      </c>
      <c r="D2" s="1">
        <v>339</v>
      </c>
      <c r="E2" s="1">
        <v>881</v>
      </c>
      <c r="F2" s="1">
        <v>1032</v>
      </c>
      <c r="G2" s="1">
        <v>2285</v>
      </c>
      <c r="H2" s="1">
        <v>643</v>
      </c>
      <c r="I2" s="1">
        <v>386</v>
      </c>
      <c r="J2" s="1">
        <v>484</v>
      </c>
      <c r="K2" s="1">
        <v>213</v>
      </c>
      <c r="M2" t="s">
        <v>81</v>
      </c>
    </row>
    <row r="3" spans="1:13" x14ac:dyDescent="0.25">
      <c r="A3" s="1" t="s">
        <v>0</v>
      </c>
      <c r="B3" s="1">
        <v>11</v>
      </c>
      <c r="C3" s="1">
        <v>12</v>
      </c>
      <c r="D3" s="1">
        <v>13</v>
      </c>
      <c r="E3" s="1">
        <v>14</v>
      </c>
      <c r="F3" s="1">
        <v>15</v>
      </c>
      <c r="G3" s="1">
        <v>16</v>
      </c>
      <c r="H3" s="1">
        <v>17</v>
      </c>
      <c r="I3" s="1">
        <v>18</v>
      </c>
      <c r="J3" s="1">
        <v>19</v>
      </c>
      <c r="K3" s="1">
        <v>20</v>
      </c>
    </row>
    <row r="4" spans="1:13" x14ac:dyDescent="0.25">
      <c r="A4" s="1" t="s">
        <v>59</v>
      </c>
      <c r="B4" s="1">
        <v>799</v>
      </c>
      <c r="C4" s="1">
        <v>326</v>
      </c>
      <c r="D4" s="1">
        <v>165</v>
      </c>
      <c r="E4" s="1">
        <v>146</v>
      </c>
      <c r="F4" s="1">
        <v>227</v>
      </c>
      <c r="G4" s="1">
        <v>275</v>
      </c>
      <c r="H4" s="1">
        <v>320</v>
      </c>
      <c r="I4" s="1">
        <v>216</v>
      </c>
      <c r="J4" s="1">
        <v>799</v>
      </c>
      <c r="K4" s="1">
        <v>507</v>
      </c>
    </row>
    <row r="5" spans="1:13" x14ac:dyDescent="0.25">
      <c r="A5" s="1" t="s">
        <v>0</v>
      </c>
      <c r="B5" s="1">
        <v>21</v>
      </c>
      <c r="C5" s="1">
        <v>22</v>
      </c>
      <c r="D5" s="1">
        <v>23</v>
      </c>
      <c r="E5" s="1">
        <v>24</v>
      </c>
      <c r="F5" s="1">
        <v>25</v>
      </c>
      <c r="G5" s="1">
        <v>26</v>
      </c>
      <c r="H5" s="1">
        <v>27</v>
      </c>
      <c r="I5" s="1">
        <v>28</v>
      </c>
      <c r="J5" s="1">
        <v>29</v>
      </c>
      <c r="K5" s="1">
        <v>30</v>
      </c>
    </row>
    <row r="6" spans="1:13" x14ac:dyDescent="0.25">
      <c r="A6" s="1" t="s">
        <v>59</v>
      </c>
      <c r="B6" s="1">
        <v>1045</v>
      </c>
      <c r="C6" s="1">
        <v>175</v>
      </c>
      <c r="D6" s="1">
        <v>294</v>
      </c>
      <c r="E6" s="1">
        <v>194</v>
      </c>
      <c r="F6" s="1">
        <v>127</v>
      </c>
      <c r="G6" s="1">
        <v>161</v>
      </c>
      <c r="H6" s="1">
        <v>836</v>
      </c>
      <c r="I6" s="1">
        <v>1570</v>
      </c>
      <c r="J6" s="1">
        <v>955</v>
      </c>
      <c r="K6" s="1">
        <v>176</v>
      </c>
    </row>
    <row r="7" spans="1:13" x14ac:dyDescent="0.25">
      <c r="A7" s="1" t="s">
        <v>0</v>
      </c>
      <c r="B7" s="1">
        <v>31</v>
      </c>
      <c r="C7" s="1">
        <v>32</v>
      </c>
      <c r="D7" s="1">
        <v>33</v>
      </c>
      <c r="E7" s="1">
        <v>34</v>
      </c>
      <c r="F7" s="1">
        <v>35</v>
      </c>
      <c r="G7" s="1">
        <v>36</v>
      </c>
      <c r="H7" s="1">
        <v>37</v>
      </c>
      <c r="I7" s="7">
        <v>38</v>
      </c>
    </row>
    <row r="8" spans="1:13" x14ac:dyDescent="0.25">
      <c r="A8" s="1" t="s">
        <v>59</v>
      </c>
      <c r="B8" s="1">
        <v>449</v>
      </c>
      <c r="C8" s="1">
        <v>163</v>
      </c>
      <c r="D8" s="1">
        <v>598</v>
      </c>
      <c r="E8" s="1">
        <v>186</v>
      </c>
      <c r="F8" s="1">
        <v>149</v>
      </c>
      <c r="G8" s="1">
        <v>102</v>
      </c>
      <c r="H8" s="1">
        <v>115</v>
      </c>
      <c r="I8" s="7">
        <v>643</v>
      </c>
    </row>
    <row r="10" spans="1:13" x14ac:dyDescent="0.25">
      <c r="A10" t="s">
        <v>1</v>
      </c>
    </row>
    <row r="12" spans="1:13" x14ac:dyDescent="0.25">
      <c r="A12" t="s">
        <v>2</v>
      </c>
      <c r="B12">
        <f>MAX(B2:K2,B4:K4,B6:K6,B8:I8)</f>
        <v>2285</v>
      </c>
    </row>
    <row r="13" spans="1:13" x14ac:dyDescent="0.25">
      <c r="A13" t="s">
        <v>3</v>
      </c>
      <c r="B13">
        <f>MIN(B2:K2,B4:K4,B6:K6,B8:I8)</f>
        <v>102</v>
      </c>
    </row>
    <row r="15" spans="1:13" x14ac:dyDescent="0.25">
      <c r="A15" t="s">
        <v>4</v>
      </c>
      <c r="B15">
        <f>B12-B13</f>
        <v>2183</v>
      </c>
    </row>
    <row r="17" spans="1:5" ht="75" x14ac:dyDescent="0.25">
      <c r="A17" s="2" t="s">
        <v>64</v>
      </c>
    </row>
    <row r="19" spans="1:5" x14ac:dyDescent="0.25">
      <c r="A19" t="s">
        <v>60</v>
      </c>
    </row>
    <row r="21" spans="1:5" x14ac:dyDescent="0.25">
      <c r="A21" t="s">
        <v>5</v>
      </c>
      <c r="B21">
        <f>1+1.4*LN(38)</f>
        <v>6.0926206236169396</v>
      </c>
    </row>
    <row r="22" spans="1:5" x14ac:dyDescent="0.25">
      <c r="A22" t="s">
        <v>6</v>
      </c>
    </row>
    <row r="23" spans="1:5" x14ac:dyDescent="0.25">
      <c r="A23" t="s">
        <v>7</v>
      </c>
      <c r="B23">
        <f>B15/B21</f>
        <v>358.30230287735236</v>
      </c>
    </row>
    <row r="25" spans="1:5" x14ac:dyDescent="0.25">
      <c r="A25" t="s">
        <v>8</v>
      </c>
    </row>
    <row r="32" spans="1:5" x14ac:dyDescent="0.25">
      <c r="A32" t="s">
        <v>10</v>
      </c>
      <c r="B32">
        <f>MIN(B2:K2,B4:K4,B6:K6,B8:I8)</f>
        <v>102</v>
      </c>
      <c r="D32" t="s">
        <v>11</v>
      </c>
      <c r="E32">
        <f>B32+B23</f>
        <v>460.30230287735236</v>
      </c>
    </row>
    <row r="33" spans="1:5" x14ac:dyDescent="0.25">
      <c r="A33" t="s">
        <v>12</v>
      </c>
      <c r="B33">
        <f>B32+B23</f>
        <v>460.30230287735236</v>
      </c>
      <c r="D33" t="s">
        <v>17</v>
      </c>
      <c r="E33">
        <f>B33+B23</f>
        <v>818.60460575470472</v>
      </c>
    </row>
    <row r="34" spans="1:5" x14ac:dyDescent="0.25">
      <c r="A34" t="s">
        <v>13</v>
      </c>
      <c r="B34">
        <f>B33+B23</f>
        <v>818.60460575470472</v>
      </c>
      <c r="D34" t="s">
        <v>18</v>
      </c>
      <c r="E34">
        <f>B34+B23</f>
        <v>1176.9069086320571</v>
      </c>
    </row>
    <row r="35" spans="1:5" x14ac:dyDescent="0.25">
      <c r="A35" t="s">
        <v>14</v>
      </c>
      <c r="B35">
        <f>B34+B23</f>
        <v>1176.9069086320571</v>
      </c>
      <c r="D35" t="s">
        <v>19</v>
      </c>
      <c r="E35">
        <f>B35+B23</f>
        <v>1535.2092115094094</v>
      </c>
    </row>
    <row r="36" spans="1:5" x14ac:dyDescent="0.25">
      <c r="A36" t="s">
        <v>15</v>
      </c>
      <c r="B36">
        <f>B35+B23</f>
        <v>1535.2092115094094</v>
      </c>
      <c r="D36" t="s">
        <v>20</v>
      </c>
      <c r="E36">
        <f>B36+B23</f>
        <v>1893.5115143867617</v>
      </c>
    </row>
    <row r="37" spans="1:5" x14ac:dyDescent="0.25">
      <c r="A37" t="s">
        <v>16</v>
      </c>
      <c r="B37">
        <f>B36+B23</f>
        <v>1893.5115143867617</v>
      </c>
      <c r="D37" t="s">
        <v>21</v>
      </c>
      <c r="E37">
        <f>MAX(B2:K2,B4:K4,B6:K6,B8:I8)</f>
        <v>2285</v>
      </c>
    </row>
    <row r="39" spans="1:5" x14ac:dyDescent="0.25">
      <c r="A39" t="s">
        <v>65</v>
      </c>
    </row>
    <row r="43" spans="1:5" x14ac:dyDescent="0.25">
      <c r="A43" t="s">
        <v>9</v>
      </c>
      <c r="B43">
        <f>(B32+E32)/2</f>
        <v>281.15115143867615</v>
      </c>
    </row>
    <row r="44" spans="1:5" x14ac:dyDescent="0.25">
      <c r="A44" t="s">
        <v>22</v>
      </c>
      <c r="B44">
        <f>(B33+E33)/2</f>
        <v>639.45345431602857</v>
      </c>
    </row>
    <row r="45" spans="1:5" x14ac:dyDescent="0.25">
      <c r="A45" t="s">
        <v>23</v>
      </c>
      <c r="B45">
        <f>(B34+E34)/2</f>
        <v>997.75575719338099</v>
      </c>
    </row>
    <row r="46" spans="1:5" x14ac:dyDescent="0.25">
      <c r="A46" t="s">
        <v>24</v>
      </c>
      <c r="B46">
        <f t="shared" ref="B46:B47" si="0">(B35+E35)/2</f>
        <v>1356.0580600707333</v>
      </c>
    </row>
    <row r="47" spans="1:5" x14ac:dyDescent="0.25">
      <c r="A47" t="s">
        <v>25</v>
      </c>
      <c r="B47">
        <f t="shared" si="0"/>
        <v>1714.3603629480856</v>
      </c>
    </row>
    <row r="48" spans="1:5" x14ac:dyDescent="0.25">
      <c r="A48" t="s">
        <v>26</v>
      </c>
      <c r="B48">
        <f>(B37+E37)/2</f>
        <v>2089.2557571933808</v>
      </c>
    </row>
    <row r="50" spans="1:2" x14ac:dyDescent="0.25">
      <c r="A50" t="s">
        <v>27</v>
      </c>
    </row>
    <row r="51" spans="1:2" x14ac:dyDescent="0.25">
      <c r="A51" t="s">
        <v>66</v>
      </c>
      <c r="B51" s="3">
        <f>COUNTIFS(B2:K2,"&gt;=102", B2:K2,"&lt;=460")+COUNTIFS(B4:K4,"&gt;=102", B4:K4,"&lt;=460")+COUNTIFS(B6:K6,"&gt;=102", B6:K6,"&lt;=460")+COUNTIFS(B8:I8,"&gt;=102", B8:I8,"&lt;=460")</f>
        <v>22</v>
      </c>
    </row>
    <row r="52" spans="1:2" x14ac:dyDescent="0.25">
      <c r="A52" t="s">
        <v>67</v>
      </c>
      <c r="B52">
        <f>COUNTIFS(B2:K2,"&gt;=460", B2:K2,"&lt;=819")+COUNTIFS(B4:K4,"&gt;=460", B4:K4,"&lt;=819")+COUNTIFS(B6:K6,"&gt;=460", B6:K6,"&lt;=819")+COUNTIFS(B8:I8,"&gt;=460", B8:I8,"&lt;=819")</f>
        <v>8</v>
      </c>
    </row>
    <row r="53" spans="1:2" x14ac:dyDescent="0.25">
      <c r="A53" t="s">
        <v>68</v>
      </c>
      <c r="B53">
        <f>COUNTIFS(B2:K2,"&gt;=819", B2:K2,"&lt;=1177")+COUNTIFS(B4:K4,"&gt;=819", B4:K4,"&lt;=1177")+COUNTIFS(B6:K6,"&gt;=819", B6:K6,"&lt;=1177")+COUNTIFS(B8:I8,"&gt;=819", B8:I8,"&lt;=1177")</f>
        <v>6</v>
      </c>
    </row>
    <row r="54" spans="1:2" x14ac:dyDescent="0.25">
      <c r="A54" t="s">
        <v>69</v>
      </c>
      <c r="B54">
        <f>COUNTIFS(B2:K2,"&gt;=1177", B2:K2,"&lt;=1535")+COUNTIFS(B4:K4,"&gt;=1177", B4:K4,"&lt;=1535")+COUNTIFS(B6:K6,"&gt;=1177", B6:K6,"&lt;=1535")+COUNTIFS(B8:I8,"&gt;=1177", B8:I8,"&lt;=1535")</f>
        <v>0</v>
      </c>
    </row>
    <row r="55" spans="1:2" x14ac:dyDescent="0.25">
      <c r="A55" t="s">
        <v>70</v>
      </c>
      <c r="B55">
        <f>COUNTIFS(B2:K2,"&gt;=1535", B2:K2,"&lt;=1894")+COUNTIFS(B4:K4,"&gt;=1535", B4:K4,"&lt;=94")+COUNTIFS(B6:K6,"&gt;=1535", B6:K6,"&lt;=1894")+COUNTIFS(B8:I8,"&gt;=1535", B8:I8,"&lt;=1894")</f>
        <v>1</v>
      </c>
    </row>
    <row r="56" spans="1:2" x14ac:dyDescent="0.25">
      <c r="A56" t="s">
        <v>71</v>
      </c>
      <c r="B56">
        <f>COUNTIFS(B2:K2,"&gt;=1894", B2:K2,"&lt;=2285")+COUNTIFS(B4:K4,"&gt;=1894", B4:K4,"&lt;=2285")+COUNTIFS(B6:K6,"&gt;=1894", B6:K6,"&lt;=2285")+COUNTIFS(B8:I8,"&gt;=1894", B8:I8,"&lt;=2285")</f>
        <v>1</v>
      </c>
    </row>
    <row r="62" spans="1:2" x14ac:dyDescent="0.25">
      <c r="A62" t="s">
        <v>28</v>
      </c>
      <c r="B62">
        <f t="shared" ref="B62:B67" si="1">B51/38</f>
        <v>0.57894736842105265</v>
      </c>
    </row>
    <row r="63" spans="1:2" x14ac:dyDescent="0.25">
      <c r="A63" t="s">
        <v>29</v>
      </c>
      <c r="B63">
        <f t="shared" si="1"/>
        <v>0.21052631578947367</v>
      </c>
    </row>
    <row r="64" spans="1:2" x14ac:dyDescent="0.25">
      <c r="A64" t="s">
        <v>30</v>
      </c>
      <c r="B64">
        <f t="shared" si="1"/>
        <v>0.15789473684210525</v>
      </c>
    </row>
    <row r="65" spans="1:7" x14ac:dyDescent="0.25">
      <c r="A65" t="s">
        <v>31</v>
      </c>
      <c r="B65">
        <f t="shared" si="1"/>
        <v>0</v>
      </c>
    </row>
    <row r="66" spans="1:7" x14ac:dyDescent="0.25">
      <c r="A66" t="s">
        <v>33</v>
      </c>
      <c r="B66">
        <f t="shared" si="1"/>
        <v>2.6315789473684209E-2</v>
      </c>
    </row>
    <row r="67" spans="1:7" x14ac:dyDescent="0.25">
      <c r="A67" t="s">
        <v>32</v>
      </c>
      <c r="B67">
        <f t="shared" si="1"/>
        <v>2.6315789473684209E-2</v>
      </c>
    </row>
    <row r="76" spans="1:7" ht="48" customHeight="1" x14ac:dyDescent="0.25">
      <c r="A76" s="4" t="s">
        <v>34</v>
      </c>
      <c r="B76" s="1" t="s">
        <v>40</v>
      </c>
      <c r="C76" s="1" t="s">
        <v>41</v>
      </c>
      <c r="D76" s="1" t="s">
        <v>36</v>
      </c>
      <c r="E76" s="1" t="s">
        <v>37</v>
      </c>
      <c r="F76" s="1" t="s">
        <v>38</v>
      </c>
      <c r="G76" s="1" t="s">
        <v>39</v>
      </c>
    </row>
    <row r="77" spans="1:7" x14ac:dyDescent="0.25">
      <c r="A77" s="1">
        <v>1</v>
      </c>
      <c r="B77" s="1">
        <f>B32</f>
        <v>102</v>
      </c>
      <c r="C77" s="1">
        <f>E32</f>
        <v>460.30230287735236</v>
      </c>
      <c r="D77" s="1">
        <f>B43</f>
        <v>281.15115143867615</v>
      </c>
      <c r="E77" s="1">
        <f>B51</f>
        <v>22</v>
      </c>
      <c r="F77" s="1">
        <f>B62</f>
        <v>0.57894736842105265</v>
      </c>
      <c r="G77" s="1">
        <v>22</v>
      </c>
    </row>
    <row r="78" spans="1:7" x14ac:dyDescent="0.25">
      <c r="A78" s="1">
        <v>2</v>
      </c>
      <c r="B78" s="1">
        <f t="shared" ref="B78:B82" si="2">B33</f>
        <v>460.30230287735236</v>
      </c>
      <c r="C78" s="1">
        <f t="shared" ref="C78:C82" si="3">E33</f>
        <v>818.60460575470472</v>
      </c>
      <c r="D78" s="1">
        <f t="shared" ref="D78:D82" si="4">B44</f>
        <v>639.45345431602857</v>
      </c>
      <c r="E78" s="1">
        <f t="shared" ref="E78:E82" si="5">B52</f>
        <v>8</v>
      </c>
      <c r="F78" s="1">
        <f t="shared" ref="F78:F82" si="6">B63</f>
        <v>0.21052631578947367</v>
      </c>
      <c r="G78" s="1">
        <f>E77+E78</f>
        <v>30</v>
      </c>
    </row>
    <row r="79" spans="1:7" x14ac:dyDescent="0.25">
      <c r="A79" s="1">
        <v>3</v>
      </c>
      <c r="B79" s="1">
        <f t="shared" si="2"/>
        <v>818.60460575470472</v>
      </c>
      <c r="C79" s="1">
        <f t="shared" si="3"/>
        <v>1176.9069086320571</v>
      </c>
      <c r="D79" s="1">
        <f t="shared" si="4"/>
        <v>997.75575719338099</v>
      </c>
      <c r="E79" s="1">
        <f t="shared" si="5"/>
        <v>6</v>
      </c>
      <c r="F79" s="1">
        <f t="shared" si="6"/>
        <v>0.15789473684210525</v>
      </c>
      <c r="G79" s="1">
        <f>G78+E79</f>
        <v>36</v>
      </c>
    </row>
    <row r="80" spans="1:7" x14ac:dyDescent="0.25">
      <c r="A80" s="1">
        <v>4</v>
      </c>
      <c r="B80" s="1">
        <f t="shared" si="2"/>
        <v>1176.9069086320571</v>
      </c>
      <c r="C80" s="1">
        <f t="shared" si="3"/>
        <v>1535.2092115094094</v>
      </c>
      <c r="D80" s="1">
        <f t="shared" si="4"/>
        <v>1356.0580600707333</v>
      </c>
      <c r="E80" s="1">
        <f t="shared" si="5"/>
        <v>0</v>
      </c>
      <c r="F80" s="1">
        <f t="shared" si="6"/>
        <v>0</v>
      </c>
      <c r="G80" s="1">
        <f>G79+E80</f>
        <v>36</v>
      </c>
    </row>
    <row r="81" spans="1:7" x14ac:dyDescent="0.25">
      <c r="A81" s="1">
        <v>5</v>
      </c>
      <c r="B81" s="1">
        <f t="shared" si="2"/>
        <v>1535.2092115094094</v>
      </c>
      <c r="C81" s="1">
        <f t="shared" si="3"/>
        <v>1893.5115143867617</v>
      </c>
      <c r="D81" s="1">
        <f t="shared" si="4"/>
        <v>1714.3603629480856</v>
      </c>
      <c r="E81" s="1">
        <f t="shared" si="5"/>
        <v>1</v>
      </c>
      <c r="F81" s="1">
        <f t="shared" si="6"/>
        <v>2.6315789473684209E-2</v>
      </c>
      <c r="G81" s="1">
        <f t="shared" ref="G80:G81" si="7">G80+E81</f>
        <v>37</v>
      </c>
    </row>
    <row r="82" spans="1:7" x14ac:dyDescent="0.25">
      <c r="A82" s="1">
        <v>6</v>
      </c>
      <c r="B82" s="1">
        <f t="shared" si="2"/>
        <v>1893.5115143867617</v>
      </c>
      <c r="C82" s="1">
        <f t="shared" si="3"/>
        <v>2285</v>
      </c>
      <c r="D82" s="1">
        <f t="shared" si="4"/>
        <v>2089.2557571933808</v>
      </c>
      <c r="E82" s="1">
        <f t="shared" si="5"/>
        <v>1</v>
      </c>
      <c r="F82" s="1">
        <f t="shared" si="6"/>
        <v>2.6315789473684209E-2</v>
      </c>
      <c r="G82" s="1">
        <f>G81+E82</f>
        <v>38</v>
      </c>
    </row>
    <row r="83" spans="1:7" x14ac:dyDescent="0.25">
      <c r="A83" s="1" t="s">
        <v>35</v>
      </c>
      <c r="B83" s="1" t="s">
        <v>42</v>
      </c>
      <c r="C83" s="1" t="s">
        <v>42</v>
      </c>
      <c r="D83" s="1" t="s">
        <v>42</v>
      </c>
      <c r="E83" s="1">
        <f>SUM(E77:E82)</f>
        <v>38</v>
      </c>
      <c r="F83" s="1">
        <f>SUM(F77:F82)</f>
        <v>1</v>
      </c>
      <c r="G83" s="1" t="s">
        <v>42</v>
      </c>
    </row>
    <row r="85" spans="1:7" x14ac:dyDescent="0.25">
      <c r="B85" t="s">
        <v>62</v>
      </c>
    </row>
    <row r="86" spans="1:7" ht="30" x14ac:dyDescent="0.25">
      <c r="A86" s="5" t="s">
        <v>63</v>
      </c>
      <c r="B86" s="1" t="s">
        <v>61</v>
      </c>
      <c r="C86" s="1"/>
    </row>
    <row r="87" spans="1:7" x14ac:dyDescent="0.25">
      <c r="A87" s="1" t="s">
        <v>72</v>
      </c>
      <c r="B87">
        <v>22</v>
      </c>
      <c r="C87" s="1"/>
    </row>
    <row r="88" spans="1:7" x14ac:dyDescent="0.25">
      <c r="A88" s="1" t="s">
        <v>73</v>
      </c>
      <c r="B88">
        <v>8</v>
      </c>
      <c r="C88" s="1"/>
    </row>
    <row r="89" spans="1:7" x14ac:dyDescent="0.25">
      <c r="A89" s="1" t="s">
        <v>74</v>
      </c>
      <c r="B89">
        <v>6</v>
      </c>
      <c r="C89" s="1"/>
    </row>
    <row r="90" spans="1:7" x14ac:dyDescent="0.25">
      <c r="A90" s="1" t="s">
        <v>75</v>
      </c>
      <c r="B90">
        <v>0</v>
      </c>
      <c r="C90" s="1"/>
    </row>
    <row r="91" spans="1:7" x14ac:dyDescent="0.25">
      <c r="A91" s="1" t="s">
        <v>76</v>
      </c>
      <c r="B91">
        <v>1</v>
      </c>
      <c r="C91" s="1"/>
    </row>
    <row r="92" spans="1:7" x14ac:dyDescent="0.25">
      <c r="A92" s="1" t="s">
        <v>77</v>
      </c>
      <c r="B92">
        <v>1</v>
      </c>
      <c r="C92" s="1"/>
    </row>
    <row r="93" spans="1:7" x14ac:dyDescent="0.25">
      <c r="B93" s="1"/>
      <c r="C93" s="1"/>
    </row>
    <row r="94" spans="1:7" x14ac:dyDescent="0.25">
      <c r="A94" s="1"/>
      <c r="B94" s="1"/>
      <c r="C94" s="1"/>
    </row>
    <row r="95" spans="1:7" x14ac:dyDescent="0.25">
      <c r="A95" s="1"/>
      <c r="B95" s="1"/>
      <c r="C95" s="1"/>
    </row>
    <row r="97" spans="1:3" x14ac:dyDescent="0.25">
      <c r="A97" t="s">
        <v>43</v>
      </c>
    </row>
    <row r="99" spans="1:3" ht="30" x14ac:dyDescent="0.25">
      <c r="A99" s="5" t="s">
        <v>63</v>
      </c>
      <c r="B99" s="1" t="s">
        <v>61</v>
      </c>
      <c r="C99" s="1"/>
    </row>
    <row r="100" spans="1:3" x14ac:dyDescent="0.25">
      <c r="A100" s="1" t="s">
        <v>78</v>
      </c>
      <c r="B100" s="1">
        <f>SUM(B87:B88)</f>
        <v>30</v>
      </c>
      <c r="C100" s="1"/>
    </row>
    <row r="101" spans="1:3" x14ac:dyDescent="0.25">
      <c r="A101" s="1" t="s">
        <v>79</v>
      </c>
      <c r="B101" s="1">
        <f>SUM(B89:B90)</f>
        <v>6</v>
      </c>
      <c r="C101" s="1"/>
    </row>
    <row r="102" spans="1:3" x14ac:dyDescent="0.25">
      <c r="A102" s="1" t="s">
        <v>80</v>
      </c>
      <c r="B102" s="1">
        <f>SUM(B91:B92)</f>
        <v>2</v>
      </c>
      <c r="C102" s="1"/>
    </row>
    <row r="103" spans="1:3" x14ac:dyDescent="0.25">
      <c r="A103" s="1"/>
      <c r="B103" s="1"/>
      <c r="C103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2AA2-4EAD-4AD3-AA52-70ED831D1F00}">
  <dimension ref="A1:L48"/>
  <sheetViews>
    <sheetView tabSelected="1" workbookViewId="0">
      <selection activeCell="Q7" sqref="Q7"/>
    </sheetView>
  </sheetViews>
  <sheetFormatPr defaultRowHeight="15" x14ac:dyDescent="0.25"/>
  <cols>
    <col min="1" max="1" width="27.5703125" customWidth="1"/>
    <col min="2" max="2" width="18" customWidth="1"/>
  </cols>
  <sheetData>
    <row r="1" spans="1:12" ht="15.75" x14ac:dyDescent="0.25">
      <c r="A1" s="6" t="s">
        <v>45</v>
      </c>
      <c r="B1" s="6"/>
    </row>
    <row r="2" spans="1:12" ht="16.5" thickBot="1" x14ac:dyDescent="0.3">
      <c r="A2" s="6"/>
      <c r="B2" s="6"/>
      <c r="F2" t="s">
        <v>44</v>
      </c>
    </row>
    <row r="3" spans="1:12" ht="16.5" thickBot="1" x14ac:dyDescent="0.3">
      <c r="A3" s="6" t="s">
        <v>46</v>
      </c>
      <c r="B3" s="6">
        <f>AVERAGE(F3:F32)</f>
        <v>15.6</v>
      </c>
      <c r="F3">
        <v>10</v>
      </c>
      <c r="H3" s="11"/>
      <c r="I3" s="11"/>
    </row>
    <row r="4" spans="1:12" ht="15.75" x14ac:dyDescent="0.25">
      <c r="A4" s="6" t="s">
        <v>47</v>
      </c>
      <c r="B4" s="6">
        <f>B7/SQRT(B15)</f>
        <v>1.3197004188081092</v>
      </c>
      <c r="F4">
        <v>14</v>
      </c>
      <c r="H4" s="8"/>
      <c r="I4" s="9"/>
      <c r="K4" s="11"/>
      <c r="L4" s="11"/>
    </row>
    <row r="5" spans="1:12" ht="15.75" x14ac:dyDescent="0.25">
      <c r="A5" s="6" t="s">
        <v>48</v>
      </c>
      <c r="B5" s="6">
        <f>MEDIAN(F3:F32)</f>
        <v>14.5</v>
      </c>
      <c r="F5">
        <v>16</v>
      </c>
      <c r="H5" s="8"/>
      <c r="I5" s="9"/>
      <c r="K5" s="9"/>
      <c r="L5" s="9"/>
    </row>
    <row r="6" spans="1:12" ht="15.75" x14ac:dyDescent="0.25">
      <c r="A6" s="6" t="s">
        <v>49</v>
      </c>
      <c r="B6" s="6">
        <f>MODE(F3:F32)</f>
        <v>14</v>
      </c>
      <c r="F6">
        <v>14</v>
      </c>
      <c r="H6" s="8"/>
      <c r="I6" s="9"/>
      <c r="K6" s="9"/>
      <c r="L6" s="9"/>
    </row>
    <row r="7" spans="1:12" ht="16.5" thickBot="1" x14ac:dyDescent="0.3">
      <c r="A7" s="6" t="s">
        <v>50</v>
      </c>
      <c r="B7" s="6">
        <f>STDEV(F3:F32)</f>
        <v>7.2282968853021634</v>
      </c>
      <c r="F7">
        <v>26</v>
      </c>
      <c r="H7" s="10"/>
      <c r="I7" s="10"/>
      <c r="K7" s="9"/>
      <c r="L7" s="9"/>
    </row>
    <row r="8" spans="1:12" ht="15.75" x14ac:dyDescent="0.25">
      <c r="A8" s="6" t="s">
        <v>51</v>
      </c>
      <c r="B8" s="6">
        <f>VAR(F3:F32)</f>
        <v>52.248275862068958</v>
      </c>
      <c r="F8">
        <v>11</v>
      </c>
      <c r="H8" s="8"/>
      <c r="I8" s="9"/>
      <c r="K8" s="9"/>
      <c r="L8" s="9"/>
    </row>
    <row r="9" spans="1:12" ht="15.75" x14ac:dyDescent="0.25">
      <c r="A9" s="6" t="s">
        <v>52</v>
      </c>
      <c r="B9" s="6">
        <f>KURT(F3:F32)</f>
        <v>1.8838074757411012</v>
      </c>
      <c r="F9">
        <v>4</v>
      </c>
      <c r="H9" s="8"/>
      <c r="I9" s="9"/>
      <c r="K9" s="9"/>
      <c r="L9" s="9"/>
    </row>
    <row r="10" spans="1:12" ht="16.5" thickBot="1" x14ac:dyDescent="0.3">
      <c r="A10" s="6" t="s">
        <v>53</v>
      </c>
      <c r="B10" s="6">
        <v>1.3070402889767501</v>
      </c>
      <c r="C10">
        <f>SKEW(F3:F32)</f>
        <v>0.98160848019613756</v>
      </c>
      <c r="F10">
        <v>17</v>
      </c>
      <c r="H10" s="8"/>
      <c r="I10" s="9"/>
      <c r="K10" s="10"/>
      <c r="L10" s="10"/>
    </row>
    <row r="11" spans="1:12" ht="15.75" x14ac:dyDescent="0.25">
      <c r="A11" s="6" t="s">
        <v>54</v>
      </c>
      <c r="B11" s="6">
        <f>B13-B12</f>
        <v>34</v>
      </c>
      <c r="F11">
        <v>12</v>
      </c>
      <c r="H11" s="8"/>
      <c r="I11" s="9"/>
    </row>
    <row r="12" spans="1:12" ht="15.75" x14ac:dyDescent="0.25">
      <c r="A12" s="6" t="s">
        <v>55</v>
      </c>
      <c r="B12" s="6">
        <f>MIN(F3:F32)</f>
        <v>4</v>
      </c>
      <c r="F12">
        <v>10</v>
      </c>
      <c r="H12" s="8"/>
      <c r="I12" s="9"/>
    </row>
    <row r="13" spans="1:12" ht="15.75" x14ac:dyDescent="0.25">
      <c r="A13" s="6" t="s">
        <v>56</v>
      </c>
      <c r="B13" s="6">
        <f>MAX(F3:F32)</f>
        <v>38</v>
      </c>
      <c r="F13">
        <v>38</v>
      </c>
      <c r="H13" s="8"/>
      <c r="I13" s="9"/>
    </row>
    <row r="14" spans="1:12" ht="15.75" x14ac:dyDescent="0.25">
      <c r="A14" s="6" t="s">
        <v>57</v>
      </c>
      <c r="B14" s="6">
        <f>SUM(F3:F32)</f>
        <v>468</v>
      </c>
      <c r="F14">
        <v>5</v>
      </c>
      <c r="H14" s="8"/>
      <c r="I14" s="9"/>
    </row>
    <row r="15" spans="1:12" ht="15.75" x14ac:dyDescent="0.25">
      <c r="A15" s="6" t="s">
        <v>58</v>
      </c>
      <c r="B15" s="6">
        <f>COUNT(F3:F32)</f>
        <v>30</v>
      </c>
      <c r="F15">
        <v>14</v>
      </c>
      <c r="H15" s="8"/>
      <c r="I15" s="9"/>
    </row>
    <row r="16" spans="1:12" x14ac:dyDescent="0.25">
      <c r="F16">
        <v>10</v>
      </c>
      <c r="H16" s="8"/>
      <c r="I16" s="9"/>
    </row>
    <row r="17" spans="6:9" ht="15.75" thickBot="1" x14ac:dyDescent="0.3">
      <c r="F17">
        <v>14</v>
      </c>
      <c r="H17" s="10"/>
      <c r="I17" s="10"/>
    </row>
    <row r="18" spans="6:9" x14ac:dyDescent="0.25">
      <c r="F18">
        <v>15</v>
      </c>
    </row>
    <row r="19" spans="6:9" x14ac:dyDescent="0.25">
      <c r="F19">
        <v>15</v>
      </c>
    </row>
    <row r="20" spans="6:9" x14ac:dyDescent="0.25">
      <c r="F20">
        <v>22</v>
      </c>
    </row>
    <row r="21" spans="6:9" x14ac:dyDescent="0.25">
      <c r="F21">
        <v>11</v>
      </c>
    </row>
    <row r="22" spans="6:9" x14ac:dyDescent="0.25">
      <c r="F22">
        <v>9</v>
      </c>
    </row>
    <row r="23" spans="6:9" x14ac:dyDescent="0.25">
      <c r="F23">
        <v>16</v>
      </c>
    </row>
    <row r="24" spans="6:9" x14ac:dyDescent="0.25">
      <c r="F24">
        <v>18</v>
      </c>
    </row>
    <row r="25" spans="6:9" x14ac:dyDescent="0.25">
      <c r="F25">
        <v>5</v>
      </c>
    </row>
    <row r="26" spans="6:9" x14ac:dyDescent="0.25">
      <c r="F26">
        <v>13</v>
      </c>
    </row>
    <row r="27" spans="6:9" x14ac:dyDescent="0.25">
      <c r="F27">
        <v>15</v>
      </c>
    </row>
    <row r="28" spans="6:9" ht="15.75" thickBot="1" x14ac:dyDescent="0.3">
      <c r="F28">
        <v>19</v>
      </c>
    </row>
    <row r="29" spans="6:9" x14ac:dyDescent="0.25">
      <c r="F29">
        <v>22</v>
      </c>
      <c r="H29" s="11" t="s">
        <v>82</v>
      </c>
      <c r="I29" s="11" t="s">
        <v>84</v>
      </c>
    </row>
    <row r="30" spans="6:9" x14ac:dyDescent="0.25">
      <c r="F30">
        <v>23</v>
      </c>
      <c r="H30" s="9">
        <v>4</v>
      </c>
      <c r="I30" s="9">
        <v>1</v>
      </c>
    </row>
    <row r="31" spans="6:9" x14ac:dyDescent="0.25">
      <c r="F31">
        <v>24</v>
      </c>
      <c r="H31" s="9">
        <v>10.8</v>
      </c>
      <c r="I31" s="9">
        <v>6</v>
      </c>
    </row>
    <row r="32" spans="6:9" x14ac:dyDescent="0.25">
      <c r="F32">
        <v>26</v>
      </c>
      <c r="H32" s="9">
        <v>17.600000000000001</v>
      </c>
      <c r="I32" s="9">
        <v>14</v>
      </c>
    </row>
    <row r="33" spans="8:12" x14ac:dyDescent="0.25">
      <c r="H33" s="9">
        <v>24.4</v>
      </c>
      <c r="I33" s="9">
        <v>6</v>
      </c>
    </row>
    <row r="34" spans="8:12" x14ac:dyDescent="0.25">
      <c r="H34" s="9">
        <v>31.2</v>
      </c>
      <c r="I34" s="9">
        <v>2</v>
      </c>
    </row>
    <row r="35" spans="8:12" ht="15.75" thickBot="1" x14ac:dyDescent="0.3">
      <c r="H35" s="10" t="s">
        <v>83</v>
      </c>
      <c r="I35" s="10">
        <v>1</v>
      </c>
    </row>
    <row r="41" spans="8:12" ht="15.75" thickBot="1" x14ac:dyDescent="0.3"/>
    <row r="42" spans="8:12" x14ac:dyDescent="0.25">
      <c r="K42" s="11"/>
      <c r="L42" s="11"/>
    </row>
    <row r="43" spans="8:12" x14ac:dyDescent="0.25">
      <c r="K43" s="9"/>
      <c r="L43" s="9"/>
    </row>
    <row r="44" spans="8:12" x14ac:dyDescent="0.25">
      <c r="K44" s="9"/>
      <c r="L44" s="9"/>
    </row>
    <row r="45" spans="8:12" x14ac:dyDescent="0.25">
      <c r="K45" s="9"/>
      <c r="L45" s="9"/>
    </row>
    <row r="46" spans="8:12" x14ac:dyDescent="0.25">
      <c r="K46" s="9"/>
      <c r="L46" s="9"/>
    </row>
    <row r="47" spans="8:12" x14ac:dyDescent="0.25">
      <c r="K47" s="9"/>
      <c r="L47" s="9"/>
    </row>
    <row r="48" spans="8:12" ht="15.75" thickBot="1" x14ac:dyDescent="0.3">
      <c r="K48" s="10"/>
      <c r="L48" s="10"/>
    </row>
  </sheetData>
  <sortState xmlns:xlrd2="http://schemas.microsoft.com/office/spreadsheetml/2017/richdata2" ref="K5:K6">
    <sortCondition ref="K5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1981-C3F1-48FA-BDD8-542259AAF3FF}">
  <dimension ref="A1:A31"/>
  <sheetViews>
    <sheetView workbookViewId="0">
      <selection sqref="A1:A31"/>
    </sheetView>
  </sheetViews>
  <sheetFormatPr defaultRowHeight="15" x14ac:dyDescent="0.25"/>
  <sheetData>
    <row r="1" spans="1:1" x14ac:dyDescent="0.25">
      <c r="A1" t="s">
        <v>44</v>
      </c>
    </row>
    <row r="2" spans="1:1" x14ac:dyDescent="0.25">
      <c r="A2">
        <v>10</v>
      </c>
    </row>
    <row r="3" spans="1:1" x14ac:dyDescent="0.25">
      <c r="A3">
        <v>14</v>
      </c>
    </row>
    <row r="4" spans="1:1" x14ac:dyDescent="0.25">
      <c r="A4">
        <v>16</v>
      </c>
    </row>
    <row r="5" spans="1:1" x14ac:dyDescent="0.25">
      <c r="A5">
        <v>14</v>
      </c>
    </row>
    <row r="6" spans="1:1" x14ac:dyDescent="0.25">
      <c r="A6">
        <v>26</v>
      </c>
    </row>
    <row r="7" spans="1:1" x14ac:dyDescent="0.25">
      <c r="A7">
        <v>11</v>
      </c>
    </row>
    <row r="8" spans="1:1" x14ac:dyDescent="0.25">
      <c r="A8">
        <v>4</v>
      </c>
    </row>
    <row r="9" spans="1:1" x14ac:dyDescent="0.25">
      <c r="A9">
        <v>17</v>
      </c>
    </row>
    <row r="10" spans="1:1" x14ac:dyDescent="0.25">
      <c r="A10">
        <v>12</v>
      </c>
    </row>
    <row r="11" spans="1:1" x14ac:dyDescent="0.25">
      <c r="A11">
        <v>10</v>
      </c>
    </row>
    <row r="12" spans="1:1" x14ac:dyDescent="0.25">
      <c r="A12">
        <v>38</v>
      </c>
    </row>
    <row r="13" spans="1:1" x14ac:dyDescent="0.25">
      <c r="A13">
        <v>5</v>
      </c>
    </row>
    <row r="14" spans="1:1" x14ac:dyDescent="0.25">
      <c r="A14">
        <v>14</v>
      </c>
    </row>
    <row r="15" spans="1:1" x14ac:dyDescent="0.25">
      <c r="A15">
        <v>10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15</v>
      </c>
    </row>
    <row r="19" spans="1:1" x14ac:dyDescent="0.25">
      <c r="A19">
        <v>22</v>
      </c>
    </row>
    <row r="20" spans="1:1" x14ac:dyDescent="0.25">
      <c r="A20">
        <v>11</v>
      </c>
    </row>
    <row r="21" spans="1:1" x14ac:dyDescent="0.25">
      <c r="A21">
        <v>9</v>
      </c>
    </row>
    <row r="22" spans="1:1" x14ac:dyDescent="0.25">
      <c r="A22">
        <v>16</v>
      </c>
    </row>
    <row r="23" spans="1:1" x14ac:dyDescent="0.25">
      <c r="A23">
        <v>18</v>
      </c>
    </row>
    <row r="24" spans="1:1" x14ac:dyDescent="0.25">
      <c r="A24">
        <v>5</v>
      </c>
    </row>
    <row r="25" spans="1:1" x14ac:dyDescent="0.25">
      <c r="A25">
        <v>13</v>
      </c>
    </row>
    <row r="26" spans="1:1" x14ac:dyDescent="0.25">
      <c r="A26">
        <v>15</v>
      </c>
    </row>
    <row r="27" spans="1:1" x14ac:dyDescent="0.25">
      <c r="A27">
        <v>19</v>
      </c>
    </row>
    <row r="28" spans="1:1" x14ac:dyDescent="0.25">
      <c r="A28">
        <v>22</v>
      </c>
    </row>
    <row r="29" spans="1:1" x14ac:dyDescent="0.25">
      <c r="A29">
        <v>23</v>
      </c>
    </row>
    <row r="30" spans="1:1" x14ac:dyDescent="0.25">
      <c r="A30">
        <v>24</v>
      </c>
    </row>
    <row r="31" spans="1:1" x14ac:dyDescent="0.25">
      <c r="A31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BF6B8-B600-461E-B085-902BABA0E3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Данные для задания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Dembovetskiy Maksim</cp:lastModifiedBy>
  <dcterms:created xsi:type="dcterms:W3CDTF">2015-06-05T18:19:34Z</dcterms:created>
  <dcterms:modified xsi:type="dcterms:W3CDTF">2025-06-02T17:41:01Z</dcterms:modified>
</cp:coreProperties>
</file>